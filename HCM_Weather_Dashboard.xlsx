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hang" sheetId="2" state="visible" r:id="rId2"/>
    <sheet name="Mua" sheetId="3" state="visible" r:id="rId3"/>
    <sheet name="Data_Ngay" sheetId="4" state="visible" r:id="rId4"/>
    <sheet name="Cuc_doan" sheetId="5" state="visible" r:id="rId5"/>
    <sheet name="Ghi_chu" sheetId="6" state="visible" r:id="rId6"/>
  </sheets>
  <definedNames>
    <definedName name="_xlnm._FilterDatabase" localSheetId="3" hidden="1">'Data_Ngay'!$A$1:$S$366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0.0"/>
    <numFmt numFmtId="167" formatCode="+0.0;-0.0;0.0"/>
    <numFmt numFmtId="168" formatCode="#,##0.0"/>
    <numFmt numFmtId="169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D6D7E"/>
      <sz val="9"/>
    </font>
    <font>
      <name val="Arial"/>
      <b val="1"/>
      <color rgb="001F3A5F"/>
      <sz val="16"/>
    </font>
    <font>
      <name val="Arial"/>
      <color rgb="005D6D7E"/>
      <sz val="9"/>
    </font>
    <font>
      <name val="Arial"/>
      <b val="1"/>
      <color rgb="001F3A5F"/>
      <sz val="1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66" fontId="7" fillId="3" borderId="0" applyAlignment="1" pivotButton="0" quotePrefix="0" xfId="0">
      <alignment horizontal="left" vertical="center" indent="1"/>
    </xf>
    <xf numFmtId="3" fontId="7" fillId="3" borderId="0" applyAlignment="1" pivotButton="0" quotePrefix="0" xfId="0">
      <alignment horizontal="left" vertical="center" indent="1"/>
    </xf>
    <xf numFmtId="9" fontId="7" fillId="3" borderId="0" applyAlignment="1" pivotButton="0" quotePrefix="0" xfId="0">
      <alignment horizontal="left" vertical="center" indent="1"/>
    </xf>
    <xf numFmtId="1" fontId="7" fillId="3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9" fontId="2" fillId="0" borderId="1" pivotButton="0" quotePrefix="0" xfId="0"/>
    <xf numFmtId="169" fontId="2" fillId="0" borderId="1" pivotButton="0" quotePrefix="0" xfId="0"/>
    <xf numFmtId="2" fontId="2" fillId="0" borderId="1" pivotButton="0" quotePrefix="0" xfId="0"/>
    <xf numFmtId="0" fontId="3" fillId="0" borderId="1" pivotButton="0" quotePrefix="0" xfId="0"/>
    <xf numFmtId="1" fontId="3" fillId="0" borderId="1" pivotButton="0" quotePrefix="0" xfId="0"/>
    <xf numFmtId="169" fontId="3" fillId="0" borderId="1" pivotButton="0" quotePrefix="0" xfId="0"/>
    <xf numFmtId="166" fontId="3" fillId="0" borderId="1" pivotButton="0" quotePrefix="0" xfId="0"/>
    <xf numFmtId="168" fontId="3" fillId="0" borderId="1" pivotButton="0" quotePrefix="0" xfId="0"/>
    <xf numFmtId="2" fontId="3" fillId="0" borderId="1" pivotButton="0" quotePrefix="0" xfId="0"/>
    <xf numFmtId="0" fontId="4" fillId="0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Nhiệt độ TB ban ngày vs ban đêm theo tháng</a:t>
            </a:r>
          </a:p>
        </rich>
      </tx>
    </title>
    <plotArea>
      <lineChart>
        <grouping val="standard"/>
        <ser>
          <idx val="0"/>
          <order val="0"/>
          <tx>
            <strRef>
              <f>'Thang'!G2</f>
            </strRef>
          </tx>
          <spPr>
            <a:ln w="28000">
              <a:solidFill>
                <a:srgbClr val="D35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'Thang'!$A$3:$A$15</f>
            </numRef>
          </cat>
          <val>
            <numRef>
              <f>'Thang'!$G$3:$G$15</f>
            </numRef>
          </val>
          <smooth val="0"/>
        </ser>
        <ser>
          <idx val="1"/>
          <order val="1"/>
          <tx>
            <strRef>
              <f>'Thang'!H2</f>
            </strRef>
          </tx>
          <spPr>
            <a:ln w="28000">
              <a:solidFill>
                <a:srgbClr val="2874A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'Thang'!$A$3:$A$15</f>
            </numRef>
          </cat>
          <val>
            <numRef>
              <f>'Thang'!$H$3:$H$15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5"/>
          <min val="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Chênh lệch nhiệt độ ngày – đêm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'Thang'!I2</f>
            </strRef>
          </tx>
          <spPr>
            <a:solidFill>
              <a:srgbClr val="D35400"/>
            </a:solidFill>
            <a:ln>
              <a:prstDash val="solid"/>
            </a:ln>
          </spPr>
          <cat>
            <numRef>
              <f>'Thang'!$A$3:$A$15</f>
            </numRef>
          </cat>
          <val>
            <numRef>
              <f>'Thang'!$I$3:$I$15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Tổng lượng mưa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'Thang'!K2</f>
            </strRef>
          </tx>
          <spPr>
            <a:solidFill>
              <a:srgbClr val="2E86C1"/>
            </a:solidFill>
            <a:ln>
              <a:prstDash val="solid"/>
            </a:ln>
          </spPr>
          <cat>
            <numRef>
              <f>'Thang'!$A$3:$A$15</f>
            </numRef>
          </cat>
          <val>
            <numRef>
              <f>'Thang'!$K$3:$K$15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Khả năng mưa theo tháng (tỉ lệ ngày ≥ 1 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'Thang'!M2</f>
            </strRef>
          </tx>
          <spPr>
            <a:solidFill>
              <a:srgbClr val="2874A6"/>
            </a:solidFill>
            <a:ln>
              <a:prstDash val="solid"/>
            </a:ln>
          </spPr>
          <cat>
            <numRef>
              <f>'Thang'!$A$3:$A$15</f>
            </numRef>
          </cat>
          <val>
            <numRef>
              <f>'Thang'!$M$3:$M$15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Nhiệt độ trung bình ngày &amp; trung bình động 7 ngày</a:t>
            </a:r>
          </a:p>
        </rich>
      </tx>
    </title>
    <plotArea>
      <lineChart>
        <grouping val="standard"/>
        <ser>
          <idx val="0"/>
          <order val="0"/>
          <tx>
            <strRef>
              <f>'Data_Ngay'!G1</f>
            </strRef>
          </tx>
          <spPr>
            <a:ln w="9000">
              <a:solidFill>
                <a:srgbClr val="AEB6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'Data_Ngay'!$A$2:$A$366</f>
            </numRef>
          </cat>
          <val>
            <numRef>
              <f>'Data_Ngay'!$G$2:$G$366</f>
            </numRef>
          </val>
          <smooth val="0"/>
        </ser>
        <ser>
          <idx val="1"/>
          <order val="1"/>
          <tx>
            <strRef>
              <f>'Data_Ngay'!H1</f>
            </strRef>
          </tx>
          <spPr>
            <a:ln w="28000">
              <a:solidFill>
                <a:srgbClr val="D35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'Data_Ngay'!$A$2:$A$366</f>
            </numRef>
          </cat>
          <val>
            <numRef>
              <f>'Data_Ngay'!$H$2:$H$366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/yy" sourceLinked="0"/>
        <majorTickMark val="none"/>
        <minorTickMark val="none"/>
        <crossAx val="100"/>
        <lblOffset val="100"/>
        <tickLblSkip val="30"/>
        <tickMarkSkip val="30"/>
      </catAx>
      <valAx>
        <axId val="100"/>
        <scaling>
          <orientation val="minMax"/>
          <max val="34"/>
          <min val="2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24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1098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>
      <c r="A1" s="1" t="inlineStr">
        <is>
          <t>Khí hậu TP.HCM — biến động nhiệt độ &amp; khả năng mưa theo mùa</t>
        </is>
      </c>
    </row>
    <row r="2">
      <c r="A2" s="2">
        <f>"Dữ liệu ngày "&amp;TEXT(MIN(Data_Ngay!$A$2:$A$366),"dd/mm/yyyy")&amp;" → "&amp;TEXT(MAX(Data_Ngay!$A$2:$A$366),"dd/mm/yyyy")&amp;" · Nguồn: Open-Meteo Archive API (ERA5)"</f>
        <v/>
      </c>
    </row>
    <row r="5">
      <c r="A5" s="3" t="inlineStr">
        <is>
          <t>Nóng nhất (°C)</t>
        </is>
      </c>
      <c r="B5" s="4" t="n"/>
      <c r="C5" s="4" t="n"/>
      <c r="D5" s="3" t="inlineStr">
        <is>
          <t>Mát nhất (°C)</t>
        </is>
      </c>
      <c r="E5" s="4" t="n"/>
      <c r="F5" s="4" t="n"/>
      <c r="G5" s="3" t="inlineStr">
        <is>
          <t>Tổng lượng mưa (mm)</t>
        </is>
      </c>
      <c r="H5" s="4" t="n"/>
      <c r="I5" s="4" t="n"/>
      <c r="J5" s="3" t="inlineStr">
        <is>
          <t>Khả năng mưa mùa mưa</t>
        </is>
      </c>
      <c r="K5" s="4" t="n"/>
      <c r="L5" s="4" t="n"/>
      <c r="M5" s="3" t="inlineStr">
        <is>
          <t>Chênh ngày–đêm TB (°C)</t>
        </is>
      </c>
      <c r="N5" s="4" t="n"/>
      <c r="O5" s="4" t="n"/>
      <c r="P5" s="3" t="inlineStr">
        <is>
          <t>Số ngày spike nhiệt</t>
        </is>
      </c>
      <c r="Q5" s="4" t="n"/>
      <c r="R5" s="4" t="n"/>
    </row>
    <row r="6" ht="28" customHeight="1">
      <c r="A6" s="5">
        <f>MAX(Data_Ngay!$E$2:$E$366)</f>
        <v/>
      </c>
      <c r="B6" s="4" t="n"/>
      <c r="C6" s="4" t="n"/>
      <c r="D6" s="5">
        <f>MIN(Data_Ngay!$F$2:$F$366)</f>
        <v/>
      </c>
      <c r="E6" s="4" t="n"/>
      <c r="F6" s="4" t="n"/>
      <c r="G6" s="6">
        <f>SUM(Data_Ngay!$N$2:$N$366)</f>
        <v/>
      </c>
      <c r="H6" s="4" t="n"/>
      <c r="I6" s="4" t="n"/>
      <c r="J6" s="7">
        <f>Mua!C3</f>
        <v/>
      </c>
      <c r="K6" s="4" t="n"/>
      <c r="L6" s="4" t="n"/>
      <c r="M6" s="5">
        <f>AVERAGE(Data_Ngay!$K$2:$K$366)</f>
        <v/>
      </c>
      <c r="N6" s="4" t="n"/>
      <c r="O6" s="4" t="n"/>
      <c r="P6" s="8">
        <f>COUNTIFS(Data_Ngay!$Q$2:$Q$366,1)</f>
        <v/>
      </c>
      <c r="Q6" s="4" t="n"/>
      <c r="R6" s="4" t="n"/>
    </row>
    <row r="7">
      <c r="A7" s="3">
        <f>TEXT(INDEX(Data_Ngay!$A$2:$A$366,MATCH(MAX(Data_Ngay!$E$2:$E$366),Data_Ngay!$E$2:$E$366,0)),"dd/mm/yyyy")</f>
        <v/>
      </c>
      <c r="B7" s="4" t="n"/>
      <c r="C7" s="4" t="n"/>
      <c r="D7" s="3">
        <f>TEXT(INDEX(Data_Ngay!$A$2:$A$366,MATCH(MIN(Data_Ngay!$F$2:$F$366),Data_Ngay!$F$2:$F$366,0)),"dd/mm/yyyy")</f>
        <v/>
      </c>
      <c r="E7" s="4" t="n"/>
      <c r="F7" s="4" t="n"/>
      <c r="G7" s="3">
        <f>COUNTIFS(Data_Ngay!$O$2:$O$366,1)&amp;" ngày mưa"</f>
        <v/>
      </c>
      <c r="H7" s="4" t="n"/>
      <c r="I7" s="4" t="n"/>
      <c r="J7" s="3">
        <f>"Mùa khô: "&amp;TEXT(Mua!C4,"0%")</f>
        <v/>
      </c>
      <c r="K7" s="4" t="n"/>
      <c r="L7" s="4" t="n"/>
      <c r="M7" s="3">
        <f>"Lớn nhất: "&amp;FIXED(MAX(Data_Ngay!$K$2:$K$366),1)&amp;" °C"</f>
        <v/>
      </c>
      <c r="N7" s="4" t="n"/>
      <c r="O7" s="4" t="n"/>
      <c r="P7" s="3">
        <f>"Δ ≥ 2 °C"</f>
        <v/>
      </c>
      <c r="Q7" s="4" t="n"/>
      <c r="R7" s="4" t="n"/>
    </row>
  </sheetData>
  <mergeCells count="18">
    <mergeCell ref="J7:L7"/>
    <mergeCell ref="J5:L5"/>
    <mergeCell ref="J6:L6"/>
    <mergeCell ref="P7:R7"/>
    <mergeCell ref="D5:F5"/>
    <mergeCell ref="A5:C5"/>
    <mergeCell ref="G5:I5"/>
    <mergeCell ref="G6:I6"/>
    <mergeCell ref="M6:O6"/>
    <mergeCell ref="P5:R5"/>
    <mergeCell ref="A6:C6"/>
    <mergeCell ref="G7:I7"/>
    <mergeCell ref="M5:O5"/>
    <mergeCell ref="M7:O7"/>
    <mergeCell ref="D7:F7"/>
    <mergeCell ref="A7:C7"/>
    <mergeCell ref="D6:F6"/>
    <mergeCell ref="P6:R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8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</cols>
  <sheetData>
    <row r="2" ht="32" customHeight="1">
      <c r="A2" s="9" t="inlineStr">
        <is>
          <t>Năm-Tháng</t>
        </is>
      </c>
      <c r="B2" s="9" t="inlineStr">
        <is>
          <t>Tháng</t>
        </is>
      </c>
      <c r="C2" s="9" t="inlineStr">
        <is>
          <t>Mùa</t>
        </is>
      </c>
      <c r="D2" s="9" t="inlineStr">
        <is>
          <t>Số ngày</t>
        </is>
      </c>
      <c r="E2" s="9" t="inlineStr">
        <is>
          <t>Max TB (°C)</t>
        </is>
      </c>
      <c r="F2" s="9" t="inlineStr">
        <is>
          <t>Min TB (°C)</t>
        </is>
      </c>
      <c r="G2" s="9" t="inlineStr">
        <is>
          <t>Ban ngày TB (°C)</t>
        </is>
      </c>
      <c r="H2" s="9" t="inlineStr">
        <is>
          <t>Ban đêm TB (°C)</t>
        </is>
      </c>
      <c r="I2" s="9" t="inlineStr">
        <is>
          <t>Chênh ngày–đêm (°C)</t>
        </is>
      </c>
      <c r="J2" s="9" t="inlineStr">
        <is>
          <t>Độ ẩm TB (%)</t>
        </is>
      </c>
      <c r="K2" s="9" t="inlineStr">
        <is>
          <t>Tổng mưa (mm)</t>
        </is>
      </c>
      <c r="L2" s="9" t="inlineStr">
        <is>
          <t>Số ngày mưa</t>
        </is>
      </c>
      <c r="M2" s="9" t="inlineStr">
        <is>
          <t>Khả năng mưa</t>
        </is>
      </c>
      <c r="N2" s="9" t="inlineStr">
        <is>
          <t>Số ngày spike</t>
        </is>
      </c>
    </row>
    <row r="3">
      <c r="A3" s="10" t="inlineStr">
        <is>
          <t>2025-10</t>
        </is>
      </c>
      <c r="B3" s="11">
        <f>INDEX(Data_Ngay!$C$2:$C$366,MATCH($A3,Data_Ngay!$B$2:$B$366,0))</f>
        <v/>
      </c>
      <c r="C3" s="10">
        <f>INDEX(Data_Ngay!$D$2:$D$366,MATCH($A3,Data_Ngay!$B$2:$B$366,0))</f>
        <v/>
      </c>
      <c r="D3" s="11">
        <f>COUNTIFS(Data_Ngay!$B$2:$B$366,$A3)</f>
        <v/>
      </c>
      <c r="E3" s="12">
        <f>AVERAGEIFS(Data_Ngay!$E$2:$E$366,Data_Ngay!$B$2:$B$366,$A3)</f>
        <v/>
      </c>
      <c r="F3" s="12">
        <f>AVERAGEIFS(Data_Ngay!$F$2:$F$366,Data_Ngay!$B$2:$B$366,$A3)</f>
        <v/>
      </c>
      <c r="G3" s="12">
        <f>AVERAGEIFS(Data_Ngay!$I$2:$I$366,Data_Ngay!$B$2:$B$366,$A3)</f>
        <v/>
      </c>
      <c r="H3" s="12">
        <f>AVERAGEIFS(Data_Ngay!$J$2:$J$366,Data_Ngay!$B$2:$B$366,$A3)</f>
        <v/>
      </c>
      <c r="I3" s="12">
        <f>G3-H3</f>
        <v/>
      </c>
      <c r="J3" s="11">
        <f>AVERAGEIFS(Data_Ngay!$M$2:$M$366,Data_Ngay!$B$2:$B$366,$A3)</f>
        <v/>
      </c>
      <c r="K3" s="13">
        <f>SUMIFS(Data_Ngay!$N$2:$N$366,Data_Ngay!$B$2:$B$366,$A3)</f>
        <v/>
      </c>
      <c r="L3" s="11">
        <f>COUNTIFS(Data_Ngay!$B$2:$B$366,$A3,Data_Ngay!$O$2:$O$366,1)</f>
        <v/>
      </c>
      <c r="M3" s="14">
        <f>IF(D3=0,0,L3/D3)</f>
        <v/>
      </c>
      <c r="N3" s="11">
        <f>COUNTIFS(Data_Ngay!$B$2:$B$366,$A3,Data_Ngay!$Q$2:$Q$366,1)</f>
        <v/>
      </c>
    </row>
    <row r="4">
      <c r="A4" s="10" t="inlineStr">
        <is>
          <t>2025-11</t>
        </is>
      </c>
      <c r="B4" s="11">
        <f>INDEX(Data_Ngay!$C$2:$C$366,MATCH($A4,Data_Ngay!$B$2:$B$366,0))</f>
        <v/>
      </c>
      <c r="C4" s="10">
        <f>INDEX(Data_Ngay!$D$2:$D$366,MATCH($A4,Data_Ngay!$B$2:$B$366,0))</f>
        <v/>
      </c>
      <c r="D4" s="11">
        <f>COUNTIFS(Data_Ngay!$B$2:$B$366,$A4)</f>
        <v/>
      </c>
      <c r="E4" s="12">
        <f>AVERAGEIFS(Data_Ngay!$E$2:$E$366,Data_Ngay!$B$2:$B$366,$A4)</f>
        <v/>
      </c>
      <c r="F4" s="12">
        <f>AVERAGEIFS(Data_Ngay!$F$2:$F$366,Data_Ngay!$B$2:$B$366,$A4)</f>
        <v/>
      </c>
      <c r="G4" s="12">
        <f>AVERAGEIFS(Data_Ngay!$I$2:$I$366,Data_Ngay!$B$2:$B$366,$A4)</f>
        <v/>
      </c>
      <c r="H4" s="12">
        <f>AVERAGEIFS(Data_Ngay!$J$2:$J$366,Data_Ngay!$B$2:$B$366,$A4)</f>
        <v/>
      </c>
      <c r="I4" s="12">
        <f>G4-H4</f>
        <v/>
      </c>
      <c r="J4" s="11">
        <f>AVERAGEIFS(Data_Ngay!$M$2:$M$366,Data_Ngay!$B$2:$B$366,$A4)</f>
        <v/>
      </c>
      <c r="K4" s="13">
        <f>SUMIFS(Data_Ngay!$N$2:$N$366,Data_Ngay!$B$2:$B$366,$A4)</f>
        <v/>
      </c>
      <c r="L4" s="11">
        <f>COUNTIFS(Data_Ngay!$B$2:$B$366,$A4,Data_Ngay!$O$2:$O$366,1)</f>
        <v/>
      </c>
      <c r="M4" s="14">
        <f>IF(D4=0,0,L4/D4)</f>
        <v/>
      </c>
      <c r="N4" s="11">
        <f>COUNTIFS(Data_Ngay!$B$2:$B$366,$A4,Data_Ngay!$Q$2:$Q$366,1)</f>
        <v/>
      </c>
    </row>
    <row r="5">
      <c r="A5" s="10" t="inlineStr">
        <is>
          <t>2025-12</t>
        </is>
      </c>
      <c r="B5" s="11">
        <f>INDEX(Data_Ngay!$C$2:$C$366,MATCH($A5,Data_Ngay!$B$2:$B$366,0))</f>
        <v/>
      </c>
      <c r="C5" s="10">
        <f>INDEX(Data_Ngay!$D$2:$D$366,MATCH($A5,Data_Ngay!$B$2:$B$366,0))</f>
        <v/>
      </c>
      <c r="D5" s="11">
        <f>COUNTIFS(Data_Ngay!$B$2:$B$366,$A5)</f>
        <v/>
      </c>
      <c r="E5" s="12">
        <f>AVERAGEIFS(Data_Ngay!$E$2:$E$366,Data_Ngay!$B$2:$B$366,$A5)</f>
        <v/>
      </c>
      <c r="F5" s="12">
        <f>AVERAGEIFS(Data_Ngay!$F$2:$F$366,Data_Ngay!$B$2:$B$366,$A5)</f>
        <v/>
      </c>
      <c r="G5" s="12">
        <f>AVERAGEIFS(Data_Ngay!$I$2:$I$366,Data_Ngay!$B$2:$B$366,$A5)</f>
        <v/>
      </c>
      <c r="H5" s="12">
        <f>AVERAGEIFS(Data_Ngay!$J$2:$J$366,Data_Ngay!$B$2:$B$366,$A5)</f>
        <v/>
      </c>
      <c r="I5" s="12">
        <f>G5-H5</f>
        <v/>
      </c>
      <c r="J5" s="11">
        <f>AVERAGEIFS(Data_Ngay!$M$2:$M$366,Data_Ngay!$B$2:$B$366,$A5)</f>
        <v/>
      </c>
      <c r="K5" s="13">
        <f>SUMIFS(Data_Ngay!$N$2:$N$366,Data_Ngay!$B$2:$B$366,$A5)</f>
        <v/>
      </c>
      <c r="L5" s="11">
        <f>COUNTIFS(Data_Ngay!$B$2:$B$366,$A5,Data_Ngay!$O$2:$O$366,1)</f>
        <v/>
      </c>
      <c r="M5" s="14">
        <f>IF(D5=0,0,L5/D5)</f>
        <v/>
      </c>
      <c r="N5" s="11">
        <f>COUNTIFS(Data_Ngay!$B$2:$B$366,$A5,Data_Ngay!$Q$2:$Q$366,1)</f>
        <v/>
      </c>
    </row>
    <row r="6">
      <c r="A6" s="10" t="inlineStr">
        <is>
          <t>2026-01</t>
        </is>
      </c>
      <c r="B6" s="11">
        <f>INDEX(Data_Ngay!$C$2:$C$366,MATCH($A6,Data_Ngay!$B$2:$B$366,0))</f>
        <v/>
      </c>
      <c r="C6" s="10">
        <f>INDEX(Data_Ngay!$D$2:$D$366,MATCH($A6,Data_Ngay!$B$2:$B$366,0))</f>
        <v/>
      </c>
      <c r="D6" s="11">
        <f>COUNTIFS(Data_Ngay!$B$2:$B$366,$A6)</f>
        <v/>
      </c>
      <c r="E6" s="12">
        <f>AVERAGEIFS(Data_Ngay!$E$2:$E$366,Data_Ngay!$B$2:$B$366,$A6)</f>
        <v/>
      </c>
      <c r="F6" s="12">
        <f>AVERAGEIFS(Data_Ngay!$F$2:$F$366,Data_Ngay!$B$2:$B$366,$A6)</f>
        <v/>
      </c>
      <c r="G6" s="12">
        <f>AVERAGEIFS(Data_Ngay!$I$2:$I$366,Data_Ngay!$B$2:$B$366,$A6)</f>
        <v/>
      </c>
      <c r="H6" s="12">
        <f>AVERAGEIFS(Data_Ngay!$J$2:$J$366,Data_Ngay!$B$2:$B$366,$A6)</f>
        <v/>
      </c>
      <c r="I6" s="12">
        <f>G6-H6</f>
        <v/>
      </c>
      <c r="J6" s="11">
        <f>AVERAGEIFS(Data_Ngay!$M$2:$M$366,Data_Ngay!$B$2:$B$366,$A6)</f>
        <v/>
      </c>
      <c r="K6" s="13">
        <f>SUMIFS(Data_Ngay!$N$2:$N$366,Data_Ngay!$B$2:$B$366,$A6)</f>
        <v/>
      </c>
      <c r="L6" s="11">
        <f>COUNTIFS(Data_Ngay!$B$2:$B$366,$A6,Data_Ngay!$O$2:$O$366,1)</f>
        <v/>
      </c>
      <c r="M6" s="14">
        <f>IF(D6=0,0,L6/D6)</f>
        <v/>
      </c>
      <c r="N6" s="11">
        <f>COUNTIFS(Data_Ngay!$B$2:$B$366,$A6,Data_Ngay!$Q$2:$Q$366,1)</f>
        <v/>
      </c>
    </row>
    <row r="7">
      <c r="A7" s="10" t="inlineStr">
        <is>
          <t>2026-02</t>
        </is>
      </c>
      <c r="B7" s="11">
        <f>INDEX(Data_Ngay!$C$2:$C$366,MATCH($A7,Data_Ngay!$B$2:$B$366,0))</f>
        <v/>
      </c>
      <c r="C7" s="10">
        <f>INDEX(Data_Ngay!$D$2:$D$366,MATCH($A7,Data_Ngay!$B$2:$B$366,0))</f>
        <v/>
      </c>
      <c r="D7" s="11">
        <f>COUNTIFS(Data_Ngay!$B$2:$B$366,$A7)</f>
        <v/>
      </c>
      <c r="E7" s="12">
        <f>AVERAGEIFS(Data_Ngay!$E$2:$E$366,Data_Ngay!$B$2:$B$366,$A7)</f>
        <v/>
      </c>
      <c r="F7" s="12">
        <f>AVERAGEIFS(Data_Ngay!$F$2:$F$366,Data_Ngay!$B$2:$B$366,$A7)</f>
        <v/>
      </c>
      <c r="G7" s="12">
        <f>AVERAGEIFS(Data_Ngay!$I$2:$I$366,Data_Ngay!$B$2:$B$366,$A7)</f>
        <v/>
      </c>
      <c r="H7" s="12">
        <f>AVERAGEIFS(Data_Ngay!$J$2:$J$366,Data_Ngay!$B$2:$B$366,$A7)</f>
        <v/>
      </c>
      <c r="I7" s="12">
        <f>G7-H7</f>
        <v/>
      </c>
      <c r="J7" s="11">
        <f>AVERAGEIFS(Data_Ngay!$M$2:$M$366,Data_Ngay!$B$2:$B$366,$A7)</f>
        <v/>
      </c>
      <c r="K7" s="13">
        <f>SUMIFS(Data_Ngay!$N$2:$N$366,Data_Ngay!$B$2:$B$366,$A7)</f>
        <v/>
      </c>
      <c r="L7" s="11">
        <f>COUNTIFS(Data_Ngay!$B$2:$B$366,$A7,Data_Ngay!$O$2:$O$366,1)</f>
        <v/>
      </c>
      <c r="M7" s="14">
        <f>IF(D7=0,0,L7/D7)</f>
        <v/>
      </c>
      <c r="N7" s="11">
        <f>COUNTIFS(Data_Ngay!$B$2:$B$366,$A7,Data_Ngay!$Q$2:$Q$366,1)</f>
        <v/>
      </c>
    </row>
    <row r="8">
      <c r="A8" s="10" t="inlineStr">
        <is>
          <t>2026-03</t>
        </is>
      </c>
      <c r="B8" s="11">
        <f>INDEX(Data_Ngay!$C$2:$C$366,MATCH($A8,Data_Ngay!$B$2:$B$366,0))</f>
        <v/>
      </c>
      <c r="C8" s="10">
        <f>INDEX(Data_Ngay!$D$2:$D$366,MATCH($A8,Data_Ngay!$B$2:$B$366,0))</f>
        <v/>
      </c>
      <c r="D8" s="11">
        <f>COUNTIFS(Data_Ngay!$B$2:$B$366,$A8)</f>
        <v/>
      </c>
      <c r="E8" s="12">
        <f>AVERAGEIFS(Data_Ngay!$E$2:$E$366,Data_Ngay!$B$2:$B$366,$A8)</f>
        <v/>
      </c>
      <c r="F8" s="12">
        <f>AVERAGEIFS(Data_Ngay!$F$2:$F$366,Data_Ngay!$B$2:$B$366,$A8)</f>
        <v/>
      </c>
      <c r="G8" s="12">
        <f>AVERAGEIFS(Data_Ngay!$I$2:$I$366,Data_Ngay!$B$2:$B$366,$A8)</f>
        <v/>
      </c>
      <c r="H8" s="12">
        <f>AVERAGEIFS(Data_Ngay!$J$2:$J$366,Data_Ngay!$B$2:$B$366,$A8)</f>
        <v/>
      </c>
      <c r="I8" s="12">
        <f>G8-H8</f>
        <v/>
      </c>
      <c r="J8" s="11">
        <f>AVERAGEIFS(Data_Ngay!$M$2:$M$366,Data_Ngay!$B$2:$B$366,$A8)</f>
        <v/>
      </c>
      <c r="K8" s="13">
        <f>SUMIFS(Data_Ngay!$N$2:$N$366,Data_Ngay!$B$2:$B$366,$A8)</f>
        <v/>
      </c>
      <c r="L8" s="11">
        <f>COUNTIFS(Data_Ngay!$B$2:$B$366,$A8,Data_Ngay!$O$2:$O$366,1)</f>
        <v/>
      </c>
      <c r="M8" s="14">
        <f>IF(D8=0,0,L8/D8)</f>
        <v/>
      </c>
      <c r="N8" s="11">
        <f>COUNTIFS(Data_Ngay!$B$2:$B$366,$A8,Data_Ngay!$Q$2:$Q$366,1)</f>
        <v/>
      </c>
    </row>
    <row r="9">
      <c r="A9" s="10" t="inlineStr">
        <is>
          <t>2026-04</t>
        </is>
      </c>
      <c r="B9" s="11">
        <f>INDEX(Data_Ngay!$C$2:$C$366,MATCH($A9,Data_Ngay!$B$2:$B$366,0))</f>
        <v/>
      </c>
      <c r="C9" s="10">
        <f>INDEX(Data_Ngay!$D$2:$D$366,MATCH($A9,Data_Ngay!$B$2:$B$366,0))</f>
        <v/>
      </c>
      <c r="D9" s="11">
        <f>COUNTIFS(Data_Ngay!$B$2:$B$366,$A9)</f>
        <v/>
      </c>
      <c r="E9" s="12">
        <f>AVERAGEIFS(Data_Ngay!$E$2:$E$366,Data_Ngay!$B$2:$B$366,$A9)</f>
        <v/>
      </c>
      <c r="F9" s="12">
        <f>AVERAGEIFS(Data_Ngay!$F$2:$F$366,Data_Ngay!$B$2:$B$366,$A9)</f>
        <v/>
      </c>
      <c r="G9" s="12">
        <f>AVERAGEIFS(Data_Ngay!$I$2:$I$366,Data_Ngay!$B$2:$B$366,$A9)</f>
        <v/>
      </c>
      <c r="H9" s="12">
        <f>AVERAGEIFS(Data_Ngay!$J$2:$J$366,Data_Ngay!$B$2:$B$366,$A9)</f>
        <v/>
      </c>
      <c r="I9" s="12">
        <f>G9-H9</f>
        <v/>
      </c>
      <c r="J9" s="11">
        <f>AVERAGEIFS(Data_Ngay!$M$2:$M$366,Data_Ngay!$B$2:$B$366,$A9)</f>
        <v/>
      </c>
      <c r="K9" s="13">
        <f>SUMIFS(Data_Ngay!$N$2:$N$366,Data_Ngay!$B$2:$B$366,$A9)</f>
        <v/>
      </c>
      <c r="L9" s="11">
        <f>COUNTIFS(Data_Ngay!$B$2:$B$366,$A9,Data_Ngay!$O$2:$O$366,1)</f>
        <v/>
      </c>
      <c r="M9" s="14">
        <f>IF(D9=0,0,L9/D9)</f>
        <v/>
      </c>
      <c r="N9" s="11">
        <f>COUNTIFS(Data_Ngay!$B$2:$B$366,$A9,Data_Ngay!$Q$2:$Q$366,1)</f>
        <v/>
      </c>
    </row>
    <row r="10">
      <c r="A10" s="10" t="inlineStr">
        <is>
          <t>2026-05</t>
        </is>
      </c>
      <c r="B10" s="11">
        <f>INDEX(Data_Ngay!$C$2:$C$366,MATCH($A10,Data_Ngay!$B$2:$B$366,0))</f>
        <v/>
      </c>
      <c r="C10" s="10">
        <f>INDEX(Data_Ngay!$D$2:$D$366,MATCH($A10,Data_Ngay!$B$2:$B$366,0))</f>
        <v/>
      </c>
      <c r="D10" s="11">
        <f>COUNTIFS(Data_Ngay!$B$2:$B$366,$A10)</f>
        <v/>
      </c>
      <c r="E10" s="12">
        <f>AVERAGEIFS(Data_Ngay!$E$2:$E$366,Data_Ngay!$B$2:$B$366,$A10)</f>
        <v/>
      </c>
      <c r="F10" s="12">
        <f>AVERAGEIFS(Data_Ngay!$F$2:$F$366,Data_Ngay!$B$2:$B$366,$A10)</f>
        <v/>
      </c>
      <c r="G10" s="12">
        <f>AVERAGEIFS(Data_Ngay!$I$2:$I$366,Data_Ngay!$B$2:$B$366,$A10)</f>
        <v/>
      </c>
      <c r="H10" s="12">
        <f>AVERAGEIFS(Data_Ngay!$J$2:$J$366,Data_Ngay!$B$2:$B$366,$A10)</f>
        <v/>
      </c>
      <c r="I10" s="12">
        <f>G10-H10</f>
        <v/>
      </c>
      <c r="J10" s="11">
        <f>AVERAGEIFS(Data_Ngay!$M$2:$M$366,Data_Ngay!$B$2:$B$366,$A10)</f>
        <v/>
      </c>
      <c r="K10" s="13">
        <f>SUMIFS(Data_Ngay!$N$2:$N$366,Data_Ngay!$B$2:$B$366,$A10)</f>
        <v/>
      </c>
      <c r="L10" s="11">
        <f>COUNTIFS(Data_Ngay!$B$2:$B$366,$A10,Data_Ngay!$O$2:$O$366,1)</f>
        <v/>
      </c>
      <c r="M10" s="14">
        <f>IF(D10=0,0,L10/D10)</f>
        <v/>
      </c>
      <c r="N10" s="11">
        <f>COUNTIFS(Data_Ngay!$B$2:$B$366,$A10,Data_Ngay!$Q$2:$Q$366,1)</f>
        <v/>
      </c>
    </row>
    <row r="11">
      <c r="A11" s="10" t="inlineStr">
        <is>
          <t>2026-06</t>
        </is>
      </c>
      <c r="B11" s="11">
        <f>INDEX(Data_Ngay!$C$2:$C$366,MATCH($A11,Data_Ngay!$B$2:$B$366,0))</f>
        <v/>
      </c>
      <c r="C11" s="10">
        <f>INDEX(Data_Ngay!$D$2:$D$366,MATCH($A11,Data_Ngay!$B$2:$B$366,0))</f>
        <v/>
      </c>
      <c r="D11" s="11">
        <f>COUNTIFS(Data_Ngay!$B$2:$B$366,$A11)</f>
        <v/>
      </c>
      <c r="E11" s="12">
        <f>AVERAGEIFS(Data_Ngay!$E$2:$E$366,Data_Ngay!$B$2:$B$366,$A11)</f>
        <v/>
      </c>
      <c r="F11" s="12">
        <f>AVERAGEIFS(Data_Ngay!$F$2:$F$366,Data_Ngay!$B$2:$B$366,$A11)</f>
        <v/>
      </c>
      <c r="G11" s="12">
        <f>AVERAGEIFS(Data_Ngay!$I$2:$I$366,Data_Ngay!$B$2:$B$366,$A11)</f>
        <v/>
      </c>
      <c r="H11" s="12">
        <f>AVERAGEIFS(Data_Ngay!$J$2:$J$366,Data_Ngay!$B$2:$B$366,$A11)</f>
        <v/>
      </c>
      <c r="I11" s="12">
        <f>G11-H11</f>
        <v/>
      </c>
      <c r="J11" s="11">
        <f>AVERAGEIFS(Data_Ngay!$M$2:$M$366,Data_Ngay!$B$2:$B$366,$A11)</f>
        <v/>
      </c>
      <c r="K11" s="13">
        <f>SUMIFS(Data_Ngay!$N$2:$N$366,Data_Ngay!$B$2:$B$366,$A11)</f>
        <v/>
      </c>
      <c r="L11" s="11">
        <f>COUNTIFS(Data_Ngay!$B$2:$B$366,$A11,Data_Ngay!$O$2:$O$366,1)</f>
        <v/>
      </c>
      <c r="M11" s="14">
        <f>IF(D11=0,0,L11/D11)</f>
        <v/>
      </c>
      <c r="N11" s="11">
        <f>COUNTIFS(Data_Ngay!$B$2:$B$366,$A11,Data_Ngay!$Q$2:$Q$366,1)</f>
        <v/>
      </c>
    </row>
    <row r="12">
      <c r="A12" s="10" t="inlineStr">
        <is>
          <t>2026-07</t>
        </is>
      </c>
      <c r="B12" s="11">
        <f>INDEX(Data_Ngay!$C$2:$C$366,MATCH($A12,Data_Ngay!$B$2:$B$366,0))</f>
        <v/>
      </c>
      <c r="C12" s="10">
        <f>INDEX(Data_Ngay!$D$2:$D$366,MATCH($A12,Data_Ngay!$B$2:$B$366,0))</f>
        <v/>
      </c>
      <c r="D12" s="11">
        <f>COUNTIFS(Data_Ngay!$B$2:$B$366,$A12)</f>
        <v/>
      </c>
      <c r="E12" s="12">
        <f>AVERAGEIFS(Data_Ngay!$E$2:$E$366,Data_Ngay!$B$2:$B$366,$A12)</f>
        <v/>
      </c>
      <c r="F12" s="12">
        <f>AVERAGEIFS(Data_Ngay!$F$2:$F$366,Data_Ngay!$B$2:$B$366,$A12)</f>
        <v/>
      </c>
      <c r="G12" s="12">
        <f>AVERAGEIFS(Data_Ngay!$I$2:$I$366,Data_Ngay!$B$2:$B$366,$A12)</f>
        <v/>
      </c>
      <c r="H12" s="12">
        <f>AVERAGEIFS(Data_Ngay!$J$2:$J$366,Data_Ngay!$B$2:$B$366,$A12)</f>
        <v/>
      </c>
      <c r="I12" s="12">
        <f>G12-H12</f>
        <v/>
      </c>
      <c r="J12" s="11">
        <f>AVERAGEIFS(Data_Ngay!$M$2:$M$366,Data_Ngay!$B$2:$B$366,$A12)</f>
        <v/>
      </c>
      <c r="K12" s="13">
        <f>SUMIFS(Data_Ngay!$N$2:$N$366,Data_Ngay!$B$2:$B$366,$A12)</f>
        <v/>
      </c>
      <c r="L12" s="11">
        <f>COUNTIFS(Data_Ngay!$B$2:$B$366,$A12,Data_Ngay!$O$2:$O$366,1)</f>
        <v/>
      </c>
      <c r="M12" s="14">
        <f>IF(D12=0,0,L12/D12)</f>
        <v/>
      </c>
      <c r="N12" s="11">
        <f>COUNTIFS(Data_Ngay!$B$2:$B$366,$A12,Data_Ngay!$Q$2:$Q$366,1)</f>
        <v/>
      </c>
    </row>
    <row r="13">
      <c r="A13" s="10" t="inlineStr">
        <is>
          <t>2026-08</t>
        </is>
      </c>
      <c r="B13" s="11">
        <f>INDEX(Data_Ngay!$C$2:$C$366,MATCH($A13,Data_Ngay!$B$2:$B$366,0))</f>
        <v/>
      </c>
      <c r="C13" s="10">
        <f>INDEX(Data_Ngay!$D$2:$D$366,MATCH($A13,Data_Ngay!$B$2:$B$366,0))</f>
        <v/>
      </c>
      <c r="D13" s="11">
        <f>COUNTIFS(Data_Ngay!$B$2:$B$366,$A13)</f>
        <v/>
      </c>
      <c r="E13" s="12">
        <f>AVERAGEIFS(Data_Ngay!$E$2:$E$366,Data_Ngay!$B$2:$B$366,$A13)</f>
        <v/>
      </c>
      <c r="F13" s="12">
        <f>AVERAGEIFS(Data_Ngay!$F$2:$F$366,Data_Ngay!$B$2:$B$366,$A13)</f>
        <v/>
      </c>
      <c r="G13" s="12">
        <f>AVERAGEIFS(Data_Ngay!$I$2:$I$366,Data_Ngay!$B$2:$B$366,$A13)</f>
        <v/>
      </c>
      <c r="H13" s="12">
        <f>AVERAGEIFS(Data_Ngay!$J$2:$J$366,Data_Ngay!$B$2:$B$366,$A13)</f>
        <v/>
      </c>
      <c r="I13" s="12">
        <f>G13-H13</f>
        <v/>
      </c>
      <c r="J13" s="11">
        <f>AVERAGEIFS(Data_Ngay!$M$2:$M$366,Data_Ngay!$B$2:$B$366,$A13)</f>
        <v/>
      </c>
      <c r="K13" s="13">
        <f>SUMIFS(Data_Ngay!$N$2:$N$366,Data_Ngay!$B$2:$B$366,$A13)</f>
        <v/>
      </c>
      <c r="L13" s="11">
        <f>COUNTIFS(Data_Ngay!$B$2:$B$366,$A13,Data_Ngay!$O$2:$O$366,1)</f>
        <v/>
      </c>
      <c r="M13" s="14">
        <f>IF(D13=0,0,L13/D13)</f>
        <v/>
      </c>
      <c r="N13" s="11">
        <f>COUNTIFS(Data_Ngay!$B$2:$B$366,$A13,Data_Ngay!$Q$2:$Q$366,1)</f>
        <v/>
      </c>
    </row>
    <row r="14">
      <c r="A14" s="10" t="inlineStr">
        <is>
          <t>2026-09</t>
        </is>
      </c>
      <c r="B14" s="11">
        <f>INDEX(Data_Ngay!$C$2:$C$366,MATCH($A14,Data_Ngay!$B$2:$B$366,0))</f>
        <v/>
      </c>
      <c r="C14" s="10">
        <f>INDEX(Data_Ngay!$D$2:$D$366,MATCH($A14,Data_Ngay!$B$2:$B$366,0))</f>
        <v/>
      </c>
      <c r="D14" s="11">
        <f>COUNTIFS(Data_Ngay!$B$2:$B$366,$A14)</f>
        <v/>
      </c>
      <c r="E14" s="12">
        <f>AVERAGEIFS(Data_Ngay!$E$2:$E$366,Data_Ngay!$B$2:$B$366,$A14)</f>
        <v/>
      </c>
      <c r="F14" s="12">
        <f>AVERAGEIFS(Data_Ngay!$F$2:$F$366,Data_Ngay!$B$2:$B$366,$A14)</f>
        <v/>
      </c>
      <c r="G14" s="12">
        <f>AVERAGEIFS(Data_Ngay!$I$2:$I$366,Data_Ngay!$B$2:$B$366,$A14)</f>
        <v/>
      </c>
      <c r="H14" s="12">
        <f>AVERAGEIFS(Data_Ngay!$J$2:$J$366,Data_Ngay!$B$2:$B$366,$A14)</f>
        <v/>
      </c>
      <c r="I14" s="12">
        <f>G14-H14</f>
        <v/>
      </c>
      <c r="J14" s="11">
        <f>AVERAGEIFS(Data_Ngay!$M$2:$M$366,Data_Ngay!$B$2:$B$366,$A14)</f>
        <v/>
      </c>
      <c r="K14" s="13">
        <f>SUMIFS(Data_Ngay!$N$2:$N$366,Data_Ngay!$B$2:$B$366,$A14)</f>
        <v/>
      </c>
      <c r="L14" s="11">
        <f>COUNTIFS(Data_Ngay!$B$2:$B$366,$A14,Data_Ngay!$O$2:$O$366,1)</f>
        <v/>
      </c>
      <c r="M14" s="14">
        <f>IF(D14=0,0,L14/D14)</f>
        <v/>
      </c>
      <c r="N14" s="11">
        <f>COUNTIFS(Data_Ngay!$B$2:$B$366,$A14,Data_Ngay!$Q$2:$Q$366,1)</f>
        <v/>
      </c>
    </row>
    <row r="15">
      <c r="A15" s="10" t="inlineStr">
        <is>
          <t>2026-10</t>
        </is>
      </c>
      <c r="B15" s="11">
        <f>INDEX(Data_Ngay!$C$2:$C$366,MATCH($A15,Data_Ngay!$B$2:$B$366,0))</f>
        <v/>
      </c>
      <c r="C15" s="10">
        <f>INDEX(Data_Ngay!$D$2:$D$366,MATCH($A15,Data_Ngay!$B$2:$B$366,0))</f>
        <v/>
      </c>
      <c r="D15" s="11">
        <f>COUNTIFS(Data_Ngay!$B$2:$B$366,$A15)</f>
        <v/>
      </c>
      <c r="E15" s="12">
        <f>AVERAGEIFS(Data_Ngay!$E$2:$E$366,Data_Ngay!$B$2:$B$366,$A15)</f>
        <v/>
      </c>
      <c r="F15" s="12">
        <f>AVERAGEIFS(Data_Ngay!$F$2:$F$366,Data_Ngay!$B$2:$B$366,$A15)</f>
        <v/>
      </c>
      <c r="G15" s="12">
        <f>AVERAGEIFS(Data_Ngay!$I$2:$I$366,Data_Ngay!$B$2:$B$366,$A15)</f>
        <v/>
      </c>
      <c r="H15" s="12">
        <f>AVERAGEIFS(Data_Ngay!$J$2:$J$366,Data_Ngay!$B$2:$B$366,$A15)</f>
        <v/>
      </c>
      <c r="I15" s="12">
        <f>G15-H15</f>
        <v/>
      </c>
      <c r="J15" s="11">
        <f>AVERAGEIFS(Data_Ngay!$M$2:$M$366,Data_Ngay!$B$2:$B$366,$A15)</f>
        <v/>
      </c>
      <c r="K15" s="13">
        <f>SUMIFS(Data_Ngay!$N$2:$N$366,Data_Ngay!$B$2:$B$366,$A15)</f>
        <v/>
      </c>
      <c r="L15" s="11">
        <f>COUNTIFS(Data_Ngay!$B$2:$B$366,$A15,Data_Ngay!$O$2:$O$366,1)</f>
        <v/>
      </c>
      <c r="M15" s="14">
        <f>IF(D15=0,0,L15/D15)</f>
        <v/>
      </c>
      <c r="N15" s="11">
        <f>COUNTIFS(Data_Ngay!$B$2:$B$366,$A15,Data_Ngay!$Q$2:$Q$366,1)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4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2" ht="32" customHeight="1">
      <c r="A2" s="9" t="inlineStr">
        <is>
          <t>Mùa</t>
        </is>
      </c>
      <c r="B2" s="9" t="inlineStr">
        <is>
          <t>Số ngày</t>
        </is>
      </c>
      <c r="C2" s="9" t="inlineStr">
        <is>
          <t>Khả năng mưa P(mưa)</t>
        </is>
      </c>
      <c r="D2" s="9" t="inlineStr">
        <is>
          <t>P(mai mưa | nay mưa)</t>
        </is>
      </c>
      <c r="E2" s="9" t="inlineStr">
        <is>
          <t>P(mai mưa | nay khô)</t>
        </is>
      </c>
      <c r="F2" s="9" t="inlineStr">
        <is>
          <t>Max TB (°C)</t>
        </is>
      </c>
      <c r="G2" s="9" t="inlineStr">
        <is>
          <t>Độ ẩm TB (%)</t>
        </is>
      </c>
      <c r="H2" s="9" t="inlineStr">
        <is>
          <t>Tổng mưa (mm)</t>
        </is>
      </c>
      <c r="I2" s="9" t="inlineStr">
        <is>
          <t>Chênh ngày–đêm TB (°C)</t>
        </is>
      </c>
    </row>
    <row r="3">
      <c r="A3" s="10" t="inlineStr">
        <is>
          <t>Mùa mưa</t>
        </is>
      </c>
      <c r="B3" s="11">
        <f>COUNTIFS(Data_Ngay!$D$2:$D$366,$A3)</f>
        <v/>
      </c>
      <c r="C3" s="15">
        <f>COUNTIFS(Data_Ngay!$D$2:$D$366,$A3,Data_Ngay!$O$2:$O$366,1)/B3</f>
        <v/>
      </c>
      <c r="D3" s="15">
        <f>IFERROR(COUNTIFS(Data_Ngay!$D$2:$D$366,$A3,Data_Ngay!$O$2:$O$366,1,Data_Ngay!$P$2:$P$366,1)/COUNTIFS(Data_Ngay!$D$2:$D$366,$A3,Data_Ngay!$O$2:$O$366,1,Data_Ngay!$P$2:$P$366,"&gt;=0"),0)</f>
        <v/>
      </c>
      <c r="E3" s="15">
        <f>IFERROR(COUNTIFS(Data_Ngay!$D$2:$D$366,$A3,Data_Ngay!$O$2:$O$366,0,Data_Ngay!$P$2:$P$366,1)/COUNTIFS(Data_Ngay!$D$2:$D$366,$A3,Data_Ngay!$O$2:$O$366,0,Data_Ngay!$P$2:$P$366,"&gt;=0"),0)</f>
        <v/>
      </c>
      <c r="F3" s="12">
        <f>AVERAGEIFS(Data_Ngay!$E$2:$E$366,Data_Ngay!$D$2:$D$366,$A3)</f>
        <v/>
      </c>
      <c r="G3" s="11">
        <f>AVERAGEIFS(Data_Ngay!$M$2:$M$366,Data_Ngay!$D$2:$D$366,$A3)</f>
        <v/>
      </c>
      <c r="H3" s="13">
        <f>SUMIFS(Data_Ngay!$N$2:$N$366,Data_Ngay!$D$2:$D$366,$A3)</f>
        <v/>
      </c>
      <c r="I3" s="16">
        <f>AVERAGEIFS(Data_Ngay!$K$2:$K$366,Data_Ngay!$D$2:$D$366,$A3)</f>
        <v/>
      </c>
    </row>
    <row r="4">
      <c r="A4" s="10" t="inlineStr">
        <is>
          <t>Mùa khô</t>
        </is>
      </c>
      <c r="B4" s="11">
        <f>COUNTIFS(Data_Ngay!$D$2:$D$366,$A4)</f>
        <v/>
      </c>
      <c r="C4" s="15">
        <f>COUNTIFS(Data_Ngay!$D$2:$D$366,$A4,Data_Ngay!$O$2:$O$366,1)/B4</f>
        <v/>
      </c>
      <c r="D4" s="15">
        <f>IFERROR(COUNTIFS(Data_Ngay!$D$2:$D$366,$A4,Data_Ngay!$O$2:$O$366,1,Data_Ngay!$P$2:$P$366,1)/COUNTIFS(Data_Ngay!$D$2:$D$366,$A4,Data_Ngay!$O$2:$O$366,1,Data_Ngay!$P$2:$P$366,"&gt;=0"),0)</f>
        <v/>
      </c>
      <c r="E4" s="15">
        <f>IFERROR(COUNTIFS(Data_Ngay!$D$2:$D$366,$A4,Data_Ngay!$O$2:$O$366,0,Data_Ngay!$P$2:$P$366,1)/COUNTIFS(Data_Ngay!$D$2:$D$366,$A4,Data_Ngay!$O$2:$O$366,0,Data_Ngay!$P$2:$P$366,"&gt;=0"),0)</f>
        <v/>
      </c>
      <c r="F4" s="12">
        <f>AVERAGEIFS(Data_Ngay!$E$2:$E$366,Data_Ngay!$D$2:$D$366,$A4)</f>
        <v/>
      </c>
      <c r="G4" s="11">
        <f>AVERAGEIFS(Data_Ngay!$M$2:$M$366,Data_Ngay!$D$2:$D$366,$A4)</f>
        <v/>
      </c>
      <c r="H4" s="13">
        <f>SUMIFS(Data_Ngay!$N$2:$N$366,Data_Ngay!$D$2:$D$366,$A4)</f>
        <v/>
      </c>
      <c r="I4" s="16">
        <f>AVERAGEIFS(Data_Ngay!$K$2:$K$366,Data_Ngay!$D$2:$D$366,$A4)</f>
        <v/>
      </c>
    </row>
    <row r="5">
      <c r="A5" s="17" t="inlineStr">
        <is>
          <t>Cả năm</t>
        </is>
      </c>
      <c r="B5" s="18">
        <f>COUNT(Data_Ngay!$E$2:$E$366)</f>
        <v/>
      </c>
      <c r="C5" s="19">
        <f>SUM(Data_Ngay!$O$2:$O$366)/B5</f>
        <v/>
      </c>
      <c r="D5" s="19">
        <f>IFERROR(COUNTIFS(Data_Ngay!$O$2:$O$366,1,Data_Ngay!$P$2:$P$366,1)/COUNTIFS(Data_Ngay!$O$2:$O$366,1,Data_Ngay!$P$2:$P$366,"&gt;=0"),0)</f>
        <v/>
      </c>
      <c r="E5" s="19">
        <f>IFERROR(COUNTIFS(Data_Ngay!$O$2:$O$366,0,Data_Ngay!$P$2:$P$366,1)/COUNTIFS(Data_Ngay!$O$2:$O$366,0,Data_Ngay!$P$2:$P$366,"&gt;=0"),0)</f>
        <v/>
      </c>
      <c r="F5" s="20">
        <f>AVERAGE(Data_Ngay!$E$2:$E$366)</f>
        <v/>
      </c>
      <c r="G5" s="18">
        <f>AVERAGE(Data_Ngay!$M$2:$M$366)</f>
        <v/>
      </c>
      <c r="H5" s="21">
        <f>SUM(Data_Ngay!$N$2:$N$366)</f>
        <v/>
      </c>
      <c r="I5" s="22">
        <f>AVERAGE(Data_Ngay!$K$2:$K$366)</f>
        <v/>
      </c>
    </row>
    <row r="7">
      <c r="A7" s="23" t="inlineStr">
        <is>
          <t>Cách đọc: P(mai mưa | nay mưa) là xác suất ngày hôm sau có mưa khi hôm nay đã mưa (chuỗi Markov 1 bậc) — một mô hình dự báo khí hậu đơn giản, không thay thế dự báo thời tiết.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9" customWidth="1" min="13" max="13"/>
    <col width="9" customWidth="1" min="14" max="14"/>
    <col width="8" customWidth="1" min="15" max="15"/>
    <col width="8" customWidth="1" min="16" max="16"/>
    <col width="8" customWidth="1" min="17" max="17"/>
    <col width="10" customWidth="1" min="18" max="18"/>
    <col width="11" customWidth="1" min="19" max="19"/>
  </cols>
  <sheetData>
    <row r="1" ht="32" customHeight="1">
      <c r="A1" s="9" t="inlineStr">
        <is>
          <t>Ngày</t>
        </is>
      </c>
      <c r="B1" s="9" t="inlineStr">
        <is>
          <t>Năm-Tháng</t>
        </is>
      </c>
      <c r="C1" s="9" t="inlineStr">
        <is>
          <t>Tháng</t>
        </is>
      </c>
      <c r="D1" s="9" t="inlineStr">
        <is>
          <t>Mùa</t>
        </is>
      </c>
      <c r="E1" s="9" t="inlineStr">
        <is>
          <t>Nhiệt độ max (°C)</t>
        </is>
      </c>
      <c r="F1" s="9" t="inlineStr">
        <is>
          <t>Nhiệt độ min (°C)</t>
        </is>
      </c>
      <c r="G1" s="9" t="inlineStr">
        <is>
          <t>Nhiệt độ TB (°C)</t>
        </is>
      </c>
      <c r="H1" s="9" t="inlineStr">
        <is>
          <t>MA7 nhiệt độ TB (°C)</t>
        </is>
      </c>
      <c r="I1" s="9" t="inlineStr">
        <is>
          <t>TB ban ngày 6h–18h (°C)</t>
        </is>
      </c>
      <c r="J1" s="9" t="inlineStr">
        <is>
          <t>TB ban đêm 18h–6h (°C)</t>
        </is>
      </c>
      <c r="K1" s="9" t="inlineStr">
        <is>
          <t>Chênh ngày–đêm (°C)</t>
        </is>
      </c>
      <c r="L1" s="9" t="inlineStr">
        <is>
          <t>Biên độ max–min (°C)</t>
        </is>
      </c>
      <c r="M1" s="9" t="inlineStr">
        <is>
          <t>Độ ẩm TB (%)</t>
        </is>
      </c>
      <c r="N1" s="9" t="inlineStr">
        <is>
          <t>Lượng mưa (mm)</t>
        </is>
      </c>
      <c r="O1" s="9" t="inlineStr">
        <is>
          <t>Ngày mưa (≥1mm)</t>
        </is>
      </c>
      <c r="P1" s="9" t="inlineStr">
        <is>
          <t>Mai mưa?</t>
        </is>
      </c>
      <c r="Q1" s="9" t="inlineStr">
        <is>
          <t>Spike nhiệt</t>
        </is>
      </c>
      <c r="R1" s="9" t="inlineStr">
        <is>
          <t>Δ so hôm qua (°C)</t>
        </is>
      </c>
      <c r="S1" s="9" t="inlineStr">
        <is>
          <t>Δ so TB 7 ngày trước (°C)</t>
        </is>
      </c>
    </row>
    <row r="2">
      <c r="A2" s="24" t="n">
        <v>45939</v>
      </c>
      <c r="B2" s="10" t="inlineStr">
        <is>
          <t>2025-10</t>
        </is>
      </c>
      <c r="C2" s="11" t="n">
        <v>10</v>
      </c>
      <c r="D2" s="10" t="inlineStr">
        <is>
          <t>Mùa mưa</t>
        </is>
      </c>
      <c r="E2" s="12" t="n">
        <v>31.1</v>
      </c>
      <c r="F2" s="12" t="n">
        <v>23.7</v>
      </c>
      <c r="G2" s="12" t="n">
        <v>26.5</v>
      </c>
      <c r="H2" s="16" t="n">
        <v>26.5</v>
      </c>
      <c r="I2" s="12" t="n">
        <v>28.56</v>
      </c>
      <c r="J2" s="12" t="n">
        <v>24.53</v>
      </c>
      <c r="K2" s="12" t="n">
        <v>4.03</v>
      </c>
      <c r="L2" s="12" t="n">
        <v>7.4</v>
      </c>
      <c r="M2" s="11" t="n">
        <v>87</v>
      </c>
      <c r="N2" s="12" t="n">
        <v>3.2</v>
      </c>
      <c r="O2" s="11" t="n">
        <v>1</v>
      </c>
      <c r="P2" s="11" t="n">
        <v>1</v>
      </c>
      <c r="Q2" s="11" t="n">
        <v>0</v>
      </c>
      <c r="R2" s="25" t="n"/>
      <c r="S2" s="25" t="n"/>
    </row>
    <row r="3">
      <c r="A3" s="24" t="n">
        <v>45940</v>
      </c>
      <c r="B3" s="10" t="inlineStr">
        <is>
          <t>2025-10</t>
        </is>
      </c>
      <c r="C3" s="11" t="n">
        <v>10</v>
      </c>
      <c r="D3" s="10" t="inlineStr">
        <is>
          <t>Mùa mưa</t>
        </is>
      </c>
      <c r="E3" s="12" t="n">
        <v>30.1</v>
      </c>
      <c r="F3" s="12" t="n">
        <v>23.9</v>
      </c>
      <c r="G3" s="12" t="n">
        <v>26.5</v>
      </c>
      <c r="H3" s="16" t="n">
        <v>26.5</v>
      </c>
      <c r="I3" s="12" t="n">
        <v>27.85</v>
      </c>
      <c r="J3" s="12" t="n">
        <v>25.27</v>
      </c>
      <c r="K3" s="12" t="n">
        <v>2.58</v>
      </c>
      <c r="L3" s="12" t="n">
        <v>6.2</v>
      </c>
      <c r="M3" s="11" t="n">
        <v>88</v>
      </c>
      <c r="N3" s="12" t="n">
        <v>5.9</v>
      </c>
      <c r="O3" s="11" t="n">
        <v>1</v>
      </c>
      <c r="P3" s="11" t="n">
        <v>1</v>
      </c>
      <c r="Q3" s="11" t="n">
        <v>0</v>
      </c>
      <c r="R3" s="25" t="n">
        <v>-1</v>
      </c>
      <c r="S3" s="25" t="n">
        <v>-1</v>
      </c>
    </row>
    <row r="4">
      <c r="A4" s="24" t="n">
        <v>45941</v>
      </c>
      <c r="B4" s="10" t="inlineStr">
        <is>
          <t>2025-10</t>
        </is>
      </c>
      <c r="C4" s="11" t="n">
        <v>10</v>
      </c>
      <c r="D4" s="10" t="inlineStr">
        <is>
          <t>Mùa mưa</t>
        </is>
      </c>
      <c r="E4" s="12" t="n">
        <v>30.3</v>
      </c>
      <c r="F4" s="12" t="n">
        <v>23.5</v>
      </c>
      <c r="G4" s="12" t="n">
        <v>26.5</v>
      </c>
      <c r="H4" s="16" t="n">
        <v>26.5</v>
      </c>
      <c r="I4" s="12" t="n">
        <v>27.97</v>
      </c>
      <c r="J4" s="12" t="n">
        <v>24.98</v>
      </c>
      <c r="K4" s="12" t="n">
        <v>2.99</v>
      </c>
      <c r="L4" s="12" t="n">
        <v>6.8</v>
      </c>
      <c r="M4" s="11" t="n">
        <v>87</v>
      </c>
      <c r="N4" s="12" t="n">
        <v>18</v>
      </c>
      <c r="O4" s="11" t="n">
        <v>1</v>
      </c>
      <c r="P4" s="11" t="n">
        <v>1</v>
      </c>
      <c r="Q4" s="11" t="n">
        <v>0</v>
      </c>
      <c r="R4" s="25" t="n">
        <v>0.2</v>
      </c>
      <c r="S4" s="25" t="n">
        <v>-0.3</v>
      </c>
    </row>
    <row r="5">
      <c r="A5" s="24" t="n">
        <v>45942</v>
      </c>
      <c r="B5" s="10" t="inlineStr">
        <is>
          <t>2025-10</t>
        </is>
      </c>
      <c r="C5" s="11" t="n">
        <v>10</v>
      </c>
      <c r="D5" s="10" t="inlineStr">
        <is>
          <t>Mùa mưa</t>
        </is>
      </c>
      <c r="E5" s="12" t="n">
        <v>31.2</v>
      </c>
      <c r="F5" s="12" t="n">
        <v>23.9</v>
      </c>
      <c r="G5" s="12" t="n">
        <v>26.7</v>
      </c>
      <c r="H5" s="16" t="n">
        <v>26.55</v>
      </c>
      <c r="I5" s="12" t="n">
        <v>28.31</v>
      </c>
      <c r="J5" s="12" t="n">
        <v>25.06</v>
      </c>
      <c r="K5" s="12" t="n">
        <v>3.25</v>
      </c>
      <c r="L5" s="12" t="n">
        <v>7.3</v>
      </c>
      <c r="M5" s="11" t="n">
        <v>87</v>
      </c>
      <c r="N5" s="12" t="n">
        <v>9.6</v>
      </c>
      <c r="O5" s="11" t="n">
        <v>1</v>
      </c>
      <c r="P5" s="11" t="n">
        <v>1</v>
      </c>
      <c r="Q5" s="11" t="n">
        <v>0</v>
      </c>
      <c r="R5" s="25" t="n">
        <v>0.9</v>
      </c>
      <c r="S5" s="25" t="n">
        <v>0.7</v>
      </c>
    </row>
    <row r="6">
      <c r="A6" s="24" t="n">
        <v>45943</v>
      </c>
      <c r="B6" s="10" t="inlineStr">
        <is>
          <t>2025-10</t>
        </is>
      </c>
      <c r="C6" s="11" t="n">
        <v>10</v>
      </c>
      <c r="D6" s="10" t="inlineStr">
        <is>
          <t>Mùa mưa</t>
        </is>
      </c>
      <c r="E6" s="12" t="n">
        <v>30.3</v>
      </c>
      <c r="F6" s="12" t="n">
        <v>24.2</v>
      </c>
      <c r="G6" s="12" t="n">
        <v>26.5</v>
      </c>
      <c r="H6" s="16" t="n">
        <v>26.54</v>
      </c>
      <c r="I6" s="12" t="n">
        <v>27.49</v>
      </c>
      <c r="J6" s="12" t="n">
        <v>25.53</v>
      </c>
      <c r="K6" s="12" t="n">
        <v>1.96</v>
      </c>
      <c r="L6" s="12" t="n">
        <v>6.1</v>
      </c>
      <c r="M6" s="11" t="n">
        <v>90</v>
      </c>
      <c r="N6" s="12" t="n">
        <v>20.1</v>
      </c>
      <c r="O6" s="11" t="n">
        <v>1</v>
      </c>
      <c r="P6" s="11" t="n">
        <v>1</v>
      </c>
      <c r="Q6" s="11" t="n">
        <v>0</v>
      </c>
      <c r="R6" s="25" t="n">
        <v>-0.9</v>
      </c>
      <c r="S6" s="25" t="n">
        <v>-0.38</v>
      </c>
    </row>
    <row r="7">
      <c r="A7" s="24" t="n">
        <v>45944</v>
      </c>
      <c r="B7" s="10" t="inlineStr">
        <is>
          <t>2025-10</t>
        </is>
      </c>
      <c r="C7" s="11" t="n">
        <v>10</v>
      </c>
      <c r="D7" s="10" t="inlineStr">
        <is>
          <t>Mùa mưa</t>
        </is>
      </c>
      <c r="E7" s="12" t="n">
        <v>31.2</v>
      </c>
      <c r="F7" s="12" t="n">
        <v>24.4</v>
      </c>
      <c r="G7" s="12" t="n">
        <v>27</v>
      </c>
      <c r="H7" s="16" t="n">
        <v>26.62</v>
      </c>
      <c r="I7" s="12" t="n">
        <v>28.87</v>
      </c>
      <c r="J7" s="12" t="n">
        <v>25.29</v>
      </c>
      <c r="K7" s="12" t="n">
        <v>3.57</v>
      </c>
      <c r="L7" s="12" t="n">
        <v>6.8</v>
      </c>
      <c r="M7" s="11" t="n">
        <v>86</v>
      </c>
      <c r="N7" s="12" t="n">
        <v>11.9</v>
      </c>
      <c r="O7" s="11" t="n">
        <v>1</v>
      </c>
      <c r="P7" s="11" t="n">
        <v>1</v>
      </c>
      <c r="Q7" s="11" t="n">
        <v>0</v>
      </c>
      <c r="R7" s="25" t="n">
        <v>0.9</v>
      </c>
      <c r="S7" s="25" t="n">
        <v>0.6</v>
      </c>
    </row>
    <row r="8">
      <c r="A8" s="24" t="n">
        <v>45945</v>
      </c>
      <c r="B8" s="10" t="inlineStr">
        <is>
          <t>2025-10</t>
        </is>
      </c>
      <c r="C8" s="11" t="n">
        <v>10</v>
      </c>
      <c r="D8" s="10" t="inlineStr">
        <is>
          <t>Mùa mưa</t>
        </is>
      </c>
      <c r="E8" s="12" t="n">
        <v>32.8</v>
      </c>
      <c r="F8" s="12" t="n">
        <v>24.8</v>
      </c>
      <c r="G8" s="12" t="n">
        <v>27.7</v>
      </c>
      <c r="H8" s="16" t="n">
        <v>26.77</v>
      </c>
      <c r="I8" s="12" t="n">
        <v>29.44</v>
      </c>
      <c r="J8" s="12" t="n">
        <v>26.07</v>
      </c>
      <c r="K8" s="12" t="n">
        <v>3.37</v>
      </c>
      <c r="L8" s="12" t="n">
        <v>8</v>
      </c>
      <c r="M8" s="11" t="n">
        <v>84</v>
      </c>
      <c r="N8" s="12" t="n">
        <v>9.4</v>
      </c>
      <c r="O8" s="11" t="n">
        <v>1</v>
      </c>
      <c r="P8" s="11" t="n">
        <v>0</v>
      </c>
      <c r="Q8" s="11" t="n">
        <v>1</v>
      </c>
      <c r="R8" s="25" t="n">
        <v>1.6</v>
      </c>
      <c r="S8" s="25" t="n">
        <v>2.1</v>
      </c>
    </row>
    <row r="9">
      <c r="A9" s="24" t="n">
        <v>45946</v>
      </c>
      <c r="B9" s="10" t="inlineStr">
        <is>
          <t>2025-10</t>
        </is>
      </c>
      <c r="C9" s="11" t="n">
        <v>10</v>
      </c>
      <c r="D9" s="10" t="inlineStr">
        <is>
          <t>Mùa mưa</t>
        </is>
      </c>
      <c r="E9" s="12" t="n">
        <v>32.3</v>
      </c>
      <c r="F9" s="12" t="n">
        <v>24.4</v>
      </c>
      <c r="G9" s="12" t="n">
        <v>27.6</v>
      </c>
      <c r="H9" s="16" t="n">
        <v>26.93</v>
      </c>
      <c r="I9" s="12" t="n">
        <v>29.17</v>
      </c>
      <c r="J9" s="12" t="n">
        <v>26.12</v>
      </c>
      <c r="K9" s="12" t="n">
        <v>3.06</v>
      </c>
      <c r="L9" s="12" t="n">
        <v>7.9</v>
      </c>
      <c r="M9" s="11" t="n">
        <v>84</v>
      </c>
      <c r="N9" s="12" t="n">
        <v>0.7</v>
      </c>
      <c r="O9" s="11" t="n">
        <v>0</v>
      </c>
      <c r="P9" s="11" t="n">
        <v>1</v>
      </c>
      <c r="Q9" s="11" t="n">
        <v>0</v>
      </c>
      <c r="R9" s="25" t="n">
        <v>-0.5</v>
      </c>
      <c r="S9" s="25" t="n">
        <v>1.3</v>
      </c>
    </row>
    <row r="10">
      <c r="A10" s="24" t="n">
        <v>45947</v>
      </c>
      <c r="B10" s="10" t="inlineStr">
        <is>
          <t>2025-10</t>
        </is>
      </c>
      <c r="C10" s="11" t="n">
        <v>10</v>
      </c>
      <c r="D10" s="10" t="inlineStr">
        <is>
          <t>Mùa mưa</t>
        </is>
      </c>
      <c r="E10" s="12" t="n">
        <v>32.7</v>
      </c>
      <c r="F10" s="12" t="n">
        <v>24.7</v>
      </c>
      <c r="G10" s="12" t="n">
        <v>27.7</v>
      </c>
      <c r="H10" s="16" t="n">
        <v>27.1</v>
      </c>
      <c r="I10" s="12" t="n">
        <v>29.52</v>
      </c>
      <c r="J10" s="12" t="n">
        <v>26</v>
      </c>
      <c r="K10" s="12" t="n">
        <v>3.52</v>
      </c>
      <c r="L10" s="12" t="n">
        <v>8</v>
      </c>
      <c r="M10" s="11" t="n">
        <v>84</v>
      </c>
      <c r="N10" s="12" t="n">
        <v>4.8</v>
      </c>
      <c r="O10" s="11" t="n">
        <v>1</v>
      </c>
      <c r="P10" s="11" t="n">
        <v>1</v>
      </c>
      <c r="Q10" s="11" t="n">
        <v>0</v>
      </c>
      <c r="R10" s="25" t="n">
        <v>0.4</v>
      </c>
      <c r="S10" s="25" t="n">
        <v>1.53</v>
      </c>
    </row>
    <row r="11">
      <c r="A11" s="24" t="n">
        <v>45948</v>
      </c>
      <c r="B11" s="10" t="inlineStr">
        <is>
          <t>2025-10</t>
        </is>
      </c>
      <c r="C11" s="11" t="n">
        <v>10</v>
      </c>
      <c r="D11" s="10" t="inlineStr">
        <is>
          <t>Mùa mưa</t>
        </is>
      </c>
      <c r="E11" s="12" t="n">
        <v>31.9</v>
      </c>
      <c r="F11" s="12" t="n">
        <v>24.5</v>
      </c>
      <c r="G11" s="12" t="n">
        <v>26.6</v>
      </c>
      <c r="H11" s="16" t="n">
        <v>27.11</v>
      </c>
      <c r="I11" s="12" t="n">
        <v>28.33</v>
      </c>
      <c r="J11" s="12" t="n">
        <v>24.99</v>
      </c>
      <c r="K11" s="12" t="n">
        <v>3.34</v>
      </c>
      <c r="L11" s="12" t="n">
        <v>7.4</v>
      </c>
      <c r="M11" s="11" t="n">
        <v>88</v>
      </c>
      <c r="N11" s="12" t="n">
        <v>5.5</v>
      </c>
      <c r="O11" s="11" t="n">
        <v>1</v>
      </c>
      <c r="P11" s="11" t="n">
        <v>0</v>
      </c>
      <c r="Q11" s="11" t="n">
        <v>0</v>
      </c>
      <c r="R11" s="25" t="n">
        <v>-0.8</v>
      </c>
      <c r="S11" s="25" t="n">
        <v>0.36</v>
      </c>
    </row>
    <row r="12">
      <c r="A12" s="24" t="n">
        <v>45949</v>
      </c>
      <c r="B12" s="10" t="inlineStr">
        <is>
          <t>2025-10</t>
        </is>
      </c>
      <c r="C12" s="11" t="n">
        <v>10</v>
      </c>
      <c r="D12" s="10" t="inlineStr">
        <is>
          <t>Mùa mưa</t>
        </is>
      </c>
      <c r="E12" s="12" t="n">
        <v>32.9</v>
      </c>
      <c r="F12" s="12" t="n">
        <v>24.5</v>
      </c>
      <c r="G12" s="12" t="n">
        <v>28</v>
      </c>
      <c r="H12" s="16" t="n">
        <v>27.3</v>
      </c>
      <c r="I12" s="12" t="n">
        <v>30</v>
      </c>
      <c r="J12" s="12" t="n">
        <v>26.04</v>
      </c>
      <c r="K12" s="12" t="n">
        <v>3.96</v>
      </c>
      <c r="L12" s="12" t="n">
        <v>8.4</v>
      </c>
      <c r="M12" s="11" t="n">
        <v>82</v>
      </c>
      <c r="N12" s="12" t="n">
        <v>0.3</v>
      </c>
      <c r="O12" s="11" t="n">
        <v>0</v>
      </c>
      <c r="P12" s="11" t="n">
        <v>1</v>
      </c>
      <c r="Q12" s="11" t="n">
        <v>0</v>
      </c>
      <c r="R12" s="25" t="n">
        <v>1</v>
      </c>
      <c r="S12" s="25" t="n">
        <v>1.13</v>
      </c>
    </row>
    <row r="13">
      <c r="A13" s="24" t="n">
        <v>45950</v>
      </c>
      <c r="B13" s="10" t="inlineStr">
        <is>
          <t>2025-10</t>
        </is>
      </c>
      <c r="C13" s="11" t="n">
        <v>10</v>
      </c>
      <c r="D13" s="10" t="inlineStr">
        <is>
          <t>Mùa mưa</t>
        </is>
      </c>
      <c r="E13" s="12" t="n">
        <v>33.2</v>
      </c>
      <c r="F13" s="12" t="n">
        <v>24.6</v>
      </c>
      <c r="G13" s="12" t="n">
        <v>28</v>
      </c>
      <c r="H13" s="16" t="n">
        <v>27.51</v>
      </c>
      <c r="I13" s="12" t="n">
        <v>30.14</v>
      </c>
      <c r="J13" s="12" t="n">
        <v>25.82</v>
      </c>
      <c r="K13" s="12" t="n">
        <v>4.32</v>
      </c>
      <c r="L13" s="12" t="n">
        <v>8.6</v>
      </c>
      <c r="M13" s="11" t="n">
        <v>83</v>
      </c>
      <c r="N13" s="12" t="n">
        <v>12</v>
      </c>
      <c r="O13" s="11" t="n">
        <v>1</v>
      </c>
      <c r="P13" s="11" t="n">
        <v>1</v>
      </c>
      <c r="Q13" s="11" t="n">
        <v>0</v>
      </c>
      <c r="R13" s="25" t="n">
        <v>0.3</v>
      </c>
      <c r="S13" s="25" t="n">
        <v>1.19</v>
      </c>
    </row>
    <row r="14">
      <c r="A14" s="24" t="n">
        <v>45951</v>
      </c>
      <c r="B14" s="10" t="inlineStr">
        <is>
          <t>2025-10</t>
        </is>
      </c>
      <c r="C14" s="11" t="n">
        <v>10</v>
      </c>
      <c r="D14" s="10" t="inlineStr">
        <is>
          <t>Mùa mưa</t>
        </is>
      </c>
      <c r="E14" s="12" t="n">
        <v>32.3</v>
      </c>
      <c r="F14" s="12" t="n">
        <v>24.7</v>
      </c>
      <c r="G14" s="12" t="n">
        <v>27.6</v>
      </c>
      <c r="H14" s="16" t="n">
        <v>27.6</v>
      </c>
      <c r="I14" s="12" t="n">
        <v>29.27</v>
      </c>
      <c r="J14" s="12" t="n">
        <v>26.03</v>
      </c>
      <c r="K14" s="12" t="n">
        <v>3.24</v>
      </c>
      <c r="L14" s="12" t="n">
        <v>7.6</v>
      </c>
      <c r="M14" s="11" t="n">
        <v>86</v>
      </c>
      <c r="N14" s="12" t="n">
        <v>8.5</v>
      </c>
      <c r="O14" s="11" t="n">
        <v>1</v>
      </c>
      <c r="P14" s="11" t="n">
        <v>1</v>
      </c>
      <c r="Q14" s="11" t="n">
        <v>0</v>
      </c>
      <c r="R14" s="25" t="n">
        <v>-0.9</v>
      </c>
      <c r="S14" s="25" t="n">
        <v>-0.13</v>
      </c>
    </row>
    <row r="15">
      <c r="A15" s="24" t="n">
        <v>45952</v>
      </c>
      <c r="B15" s="10" t="inlineStr">
        <is>
          <t>2025-10</t>
        </is>
      </c>
      <c r="C15" s="11" t="n">
        <v>10</v>
      </c>
      <c r="D15" s="10" t="inlineStr">
        <is>
          <t>Mùa mưa</t>
        </is>
      </c>
      <c r="E15" s="12" t="n">
        <v>32.1</v>
      </c>
      <c r="F15" s="12" t="n">
        <v>24.1</v>
      </c>
      <c r="G15" s="12" t="n">
        <v>27.2</v>
      </c>
      <c r="H15" s="16" t="n">
        <v>27.53</v>
      </c>
      <c r="I15" s="12" t="n">
        <v>28.98</v>
      </c>
      <c r="J15" s="12" t="n">
        <v>25.46</v>
      </c>
      <c r="K15" s="12" t="n">
        <v>3.53</v>
      </c>
      <c r="L15" s="12" t="n">
        <v>8</v>
      </c>
      <c r="M15" s="11" t="n">
        <v>88</v>
      </c>
      <c r="N15" s="12" t="n">
        <v>10.8</v>
      </c>
      <c r="O15" s="11" t="n">
        <v>1</v>
      </c>
      <c r="P15" s="11" t="n">
        <v>1</v>
      </c>
      <c r="Q15" s="11" t="n">
        <v>0</v>
      </c>
      <c r="R15" s="25" t="n">
        <v>-0.2</v>
      </c>
      <c r="S15" s="25" t="n">
        <v>-0.49</v>
      </c>
    </row>
    <row r="16">
      <c r="A16" s="24" t="n">
        <v>45953</v>
      </c>
      <c r="B16" s="10" t="inlineStr">
        <is>
          <t>2025-10</t>
        </is>
      </c>
      <c r="C16" s="11" t="n">
        <v>10</v>
      </c>
      <c r="D16" s="10" t="inlineStr">
        <is>
          <t>Mùa mưa</t>
        </is>
      </c>
      <c r="E16" s="12" t="n">
        <v>31.4</v>
      </c>
      <c r="F16" s="12" t="n">
        <v>24.3</v>
      </c>
      <c r="G16" s="12" t="n">
        <v>26.8</v>
      </c>
      <c r="H16" s="16" t="n">
        <v>27.41</v>
      </c>
      <c r="I16" s="12" t="n">
        <v>28.43</v>
      </c>
      <c r="J16" s="12" t="n">
        <v>25.28</v>
      </c>
      <c r="K16" s="12" t="n">
        <v>3.16</v>
      </c>
      <c r="L16" s="12" t="n">
        <v>7.1</v>
      </c>
      <c r="M16" s="11" t="n">
        <v>87</v>
      </c>
      <c r="N16" s="12" t="n">
        <v>4.6</v>
      </c>
      <c r="O16" s="11" t="n">
        <v>1</v>
      </c>
      <c r="P16" s="11" t="n">
        <v>1</v>
      </c>
      <c r="Q16" s="11" t="n">
        <v>0</v>
      </c>
      <c r="R16" s="25" t="n">
        <v>-0.7</v>
      </c>
      <c r="S16" s="25" t="n">
        <v>-1.09</v>
      </c>
    </row>
    <row r="17">
      <c r="A17" s="24" t="n">
        <v>45954</v>
      </c>
      <c r="B17" s="10" t="inlineStr">
        <is>
          <t>2025-10</t>
        </is>
      </c>
      <c r="C17" s="11" t="n">
        <v>10</v>
      </c>
      <c r="D17" s="10" t="inlineStr">
        <is>
          <t>Mùa mưa</t>
        </is>
      </c>
      <c r="E17" s="12" t="n">
        <v>32.1</v>
      </c>
      <c r="F17" s="12" t="n">
        <v>24.7</v>
      </c>
      <c r="G17" s="12" t="n">
        <v>27</v>
      </c>
      <c r="H17" s="16" t="n">
        <v>27.31</v>
      </c>
      <c r="I17" s="12" t="n">
        <v>28.63</v>
      </c>
      <c r="J17" s="12" t="n">
        <v>25.5</v>
      </c>
      <c r="K17" s="12" t="n">
        <v>3.13</v>
      </c>
      <c r="L17" s="12" t="n">
        <v>7.4</v>
      </c>
      <c r="M17" s="11" t="n">
        <v>88</v>
      </c>
      <c r="N17" s="12" t="n">
        <v>17.9</v>
      </c>
      <c r="O17" s="11" t="n">
        <v>1</v>
      </c>
      <c r="P17" s="11" t="n">
        <v>1</v>
      </c>
      <c r="Q17" s="11" t="n">
        <v>0</v>
      </c>
      <c r="R17" s="25" t="n">
        <v>0.7</v>
      </c>
      <c r="S17" s="25" t="n">
        <v>-0.26</v>
      </c>
    </row>
    <row r="18">
      <c r="A18" s="24" t="n">
        <v>45955</v>
      </c>
      <c r="B18" s="10" t="inlineStr">
        <is>
          <t>2025-10</t>
        </is>
      </c>
      <c r="C18" s="11" t="n">
        <v>10</v>
      </c>
      <c r="D18" s="10" t="inlineStr">
        <is>
          <t>Mùa mưa</t>
        </is>
      </c>
      <c r="E18" s="12" t="n">
        <v>29</v>
      </c>
      <c r="F18" s="12" t="n">
        <v>23.8</v>
      </c>
      <c r="G18" s="12" t="n">
        <v>26</v>
      </c>
      <c r="H18" s="16" t="n">
        <v>27.23</v>
      </c>
      <c r="I18" s="12" t="n">
        <v>27.22</v>
      </c>
      <c r="J18" s="12" t="n">
        <v>24.79</v>
      </c>
      <c r="K18" s="12" t="n">
        <v>2.43</v>
      </c>
      <c r="L18" s="12" t="n">
        <v>5.2</v>
      </c>
      <c r="M18" s="11" t="n">
        <v>90</v>
      </c>
      <c r="N18" s="12" t="n">
        <v>2.2</v>
      </c>
      <c r="O18" s="11" t="n">
        <v>1</v>
      </c>
      <c r="P18" s="11" t="n">
        <v>1</v>
      </c>
      <c r="Q18" s="11" t="n">
        <v>0</v>
      </c>
      <c r="R18" s="25" t="n">
        <v>-3.1</v>
      </c>
      <c r="S18" s="25" t="n">
        <v>-3.27</v>
      </c>
    </row>
    <row r="19">
      <c r="A19" s="24" t="n">
        <v>45956</v>
      </c>
      <c r="B19" s="10" t="inlineStr">
        <is>
          <t>2025-10</t>
        </is>
      </c>
      <c r="C19" s="11" t="n">
        <v>10</v>
      </c>
      <c r="D19" s="10" t="inlineStr">
        <is>
          <t>Mùa mưa</t>
        </is>
      </c>
      <c r="E19" s="12" t="n">
        <v>30.5</v>
      </c>
      <c r="F19" s="12" t="n">
        <v>23.6</v>
      </c>
      <c r="G19" s="12" t="n">
        <v>26.4</v>
      </c>
      <c r="H19" s="16" t="n">
        <v>27</v>
      </c>
      <c r="I19" s="12" t="n">
        <v>28.02</v>
      </c>
      <c r="J19" s="12" t="n">
        <v>24.85</v>
      </c>
      <c r="K19" s="12" t="n">
        <v>3.17</v>
      </c>
      <c r="L19" s="12" t="n">
        <v>6.9</v>
      </c>
      <c r="M19" s="11" t="n">
        <v>87</v>
      </c>
      <c r="N19" s="12" t="n">
        <v>10.6</v>
      </c>
      <c r="O19" s="11" t="n">
        <v>1</v>
      </c>
      <c r="P19" s="11" t="n">
        <v>1</v>
      </c>
      <c r="Q19" s="11" t="n">
        <v>0</v>
      </c>
      <c r="R19" s="25" t="n">
        <v>1.5</v>
      </c>
      <c r="S19" s="25" t="n">
        <v>-1.36</v>
      </c>
    </row>
    <row r="20">
      <c r="A20" s="24" t="n">
        <v>45957</v>
      </c>
      <c r="B20" s="10" t="inlineStr">
        <is>
          <t>2025-10</t>
        </is>
      </c>
      <c r="C20" s="11" t="n">
        <v>10</v>
      </c>
      <c r="D20" s="10" t="inlineStr">
        <is>
          <t>Mùa mưa</t>
        </is>
      </c>
      <c r="E20" s="12" t="n">
        <v>30.4</v>
      </c>
      <c r="F20" s="12" t="n">
        <v>23.2</v>
      </c>
      <c r="G20" s="12" t="n">
        <v>26.1</v>
      </c>
      <c r="H20" s="16" t="n">
        <v>26.73</v>
      </c>
      <c r="I20" s="12" t="n">
        <v>27.44</v>
      </c>
      <c r="J20" s="12" t="n">
        <v>24.78</v>
      </c>
      <c r="K20" s="12" t="n">
        <v>2.67</v>
      </c>
      <c r="L20" s="12" t="n">
        <v>7.2</v>
      </c>
      <c r="M20" s="11" t="n">
        <v>87</v>
      </c>
      <c r="N20" s="12" t="n">
        <v>4</v>
      </c>
      <c r="O20" s="11" t="n">
        <v>1</v>
      </c>
      <c r="P20" s="11" t="n">
        <v>1</v>
      </c>
      <c r="Q20" s="11" t="n">
        <v>0</v>
      </c>
      <c r="R20" s="25" t="n">
        <v>-0.1</v>
      </c>
      <c r="S20" s="25" t="n">
        <v>-1.11</v>
      </c>
    </row>
    <row r="21">
      <c r="A21" s="24" t="n">
        <v>45958</v>
      </c>
      <c r="B21" s="10" t="inlineStr">
        <is>
          <t>2025-10</t>
        </is>
      </c>
      <c r="C21" s="11" t="n">
        <v>10</v>
      </c>
      <c r="D21" s="10" t="inlineStr">
        <is>
          <t>Mùa mưa</t>
        </is>
      </c>
      <c r="E21" s="12" t="n">
        <v>29.8</v>
      </c>
      <c r="F21" s="12" t="n">
        <v>24.3</v>
      </c>
      <c r="G21" s="12" t="n">
        <v>25.7</v>
      </c>
      <c r="H21" s="16" t="n">
        <v>26.46</v>
      </c>
      <c r="I21" s="12" t="n">
        <v>26.72</v>
      </c>
      <c r="J21" s="12" t="n">
        <v>24.71</v>
      </c>
      <c r="K21" s="12" t="n">
        <v>2.02</v>
      </c>
      <c r="L21" s="12" t="n">
        <v>5.5</v>
      </c>
      <c r="M21" s="11" t="n">
        <v>92</v>
      </c>
      <c r="N21" s="12" t="n">
        <v>35.4</v>
      </c>
      <c r="O21" s="11" t="n">
        <v>1</v>
      </c>
      <c r="P21" s="11" t="n">
        <v>1</v>
      </c>
      <c r="Q21" s="11" t="n">
        <v>0</v>
      </c>
      <c r="R21" s="25" t="n">
        <v>-0.6</v>
      </c>
      <c r="S21" s="25" t="n">
        <v>-1.31</v>
      </c>
    </row>
    <row r="22">
      <c r="A22" s="24" t="n">
        <v>45959</v>
      </c>
      <c r="B22" s="10" t="inlineStr">
        <is>
          <t>2025-10</t>
        </is>
      </c>
      <c r="C22" s="11" t="n">
        <v>10</v>
      </c>
      <c r="D22" s="10" t="inlineStr">
        <is>
          <t>Mùa mưa</t>
        </is>
      </c>
      <c r="E22" s="12" t="n">
        <v>29.2</v>
      </c>
      <c r="F22" s="12" t="n">
        <v>24.4</v>
      </c>
      <c r="G22" s="12" t="n">
        <v>26.1</v>
      </c>
      <c r="H22" s="16" t="n">
        <v>26.3</v>
      </c>
      <c r="I22" s="12" t="n">
        <v>27.27</v>
      </c>
      <c r="J22" s="12" t="n">
        <v>25.01</v>
      </c>
      <c r="K22" s="12" t="n">
        <v>2.26</v>
      </c>
      <c r="L22" s="12" t="n">
        <v>4.8</v>
      </c>
      <c r="M22" s="11" t="n">
        <v>90</v>
      </c>
      <c r="N22" s="12" t="n">
        <v>6.9</v>
      </c>
      <c r="O22" s="11" t="n">
        <v>1</v>
      </c>
      <c r="P22" s="11" t="n">
        <v>1</v>
      </c>
      <c r="Q22" s="11" t="n">
        <v>0</v>
      </c>
      <c r="R22" s="25" t="n">
        <v>-0.6</v>
      </c>
      <c r="S22" s="25" t="n">
        <v>-1.56</v>
      </c>
    </row>
    <row r="23">
      <c r="A23" s="24" t="n">
        <v>45960</v>
      </c>
      <c r="B23" s="10" t="inlineStr">
        <is>
          <t>2025-10</t>
        </is>
      </c>
      <c r="C23" s="11" t="n">
        <v>10</v>
      </c>
      <c r="D23" s="10" t="inlineStr">
        <is>
          <t>Mùa mưa</t>
        </is>
      </c>
      <c r="E23" s="12" t="n">
        <v>28.5</v>
      </c>
      <c r="F23" s="12" t="n">
        <v>24.5</v>
      </c>
      <c r="G23" s="12" t="n">
        <v>26.2</v>
      </c>
      <c r="H23" s="16" t="n">
        <v>26.21</v>
      </c>
      <c r="I23" s="12" t="n">
        <v>26.93</v>
      </c>
      <c r="J23" s="12" t="n">
        <v>25.5</v>
      </c>
      <c r="K23" s="12" t="n">
        <v>1.43</v>
      </c>
      <c r="L23" s="12" t="n">
        <v>4</v>
      </c>
      <c r="M23" s="11" t="n">
        <v>91</v>
      </c>
      <c r="N23" s="12" t="n">
        <v>4.4</v>
      </c>
      <c r="O23" s="11" t="n">
        <v>1</v>
      </c>
      <c r="P23" s="11" t="n">
        <v>1</v>
      </c>
      <c r="Q23" s="11" t="n">
        <v>0</v>
      </c>
      <c r="R23" s="25" t="n">
        <v>-0.7</v>
      </c>
      <c r="S23" s="25" t="n">
        <v>-1.84</v>
      </c>
    </row>
    <row r="24">
      <c r="A24" s="24" t="n">
        <v>45961</v>
      </c>
      <c r="B24" s="10" t="inlineStr">
        <is>
          <t>2025-10</t>
        </is>
      </c>
      <c r="C24" s="11" t="n">
        <v>10</v>
      </c>
      <c r="D24" s="10" t="inlineStr">
        <is>
          <t>Mùa mưa</t>
        </is>
      </c>
      <c r="E24" s="12" t="n">
        <v>30.8</v>
      </c>
      <c r="F24" s="12" t="n">
        <v>24.3</v>
      </c>
      <c r="G24" s="12" t="n">
        <v>27</v>
      </c>
      <c r="H24" s="16" t="n">
        <v>26.21</v>
      </c>
      <c r="I24" s="12" t="n">
        <v>28.47</v>
      </c>
      <c r="J24" s="12" t="n">
        <v>25.63</v>
      </c>
      <c r="K24" s="12" t="n">
        <v>2.84</v>
      </c>
      <c r="L24" s="12" t="n">
        <v>6.5</v>
      </c>
      <c r="M24" s="11" t="n">
        <v>87</v>
      </c>
      <c r="N24" s="12" t="n">
        <v>9.4</v>
      </c>
      <c r="O24" s="11" t="n">
        <v>1</v>
      </c>
      <c r="P24" s="11" t="n">
        <v>1</v>
      </c>
      <c r="Q24" s="11" t="n">
        <v>1</v>
      </c>
      <c r="R24" s="25" t="n">
        <v>2.3</v>
      </c>
      <c r="S24" s="25" t="n">
        <v>0.87</v>
      </c>
    </row>
    <row r="25">
      <c r="A25" s="24" t="n">
        <v>45962</v>
      </c>
      <c r="B25" s="10" t="inlineStr">
        <is>
          <t>2025-11</t>
        </is>
      </c>
      <c r="C25" s="11" t="n">
        <v>11</v>
      </c>
      <c r="D25" s="10" t="inlineStr">
        <is>
          <t>Mùa mưa</t>
        </is>
      </c>
      <c r="E25" s="12" t="n">
        <v>30.7</v>
      </c>
      <c r="F25" s="12" t="n">
        <v>24.5</v>
      </c>
      <c r="G25" s="12" t="n">
        <v>26.2</v>
      </c>
      <c r="H25" s="16" t="n">
        <v>26.24</v>
      </c>
      <c r="I25" s="12" t="n">
        <v>27.42</v>
      </c>
      <c r="J25" s="12" t="n">
        <v>25.06</v>
      </c>
      <c r="K25" s="12" t="n">
        <v>2.36</v>
      </c>
      <c r="L25" s="12" t="n">
        <v>6.2</v>
      </c>
      <c r="M25" s="11" t="n">
        <v>91</v>
      </c>
      <c r="N25" s="12" t="n">
        <v>32</v>
      </c>
      <c r="O25" s="11" t="n">
        <v>1</v>
      </c>
      <c r="P25" s="11" t="n">
        <v>1</v>
      </c>
      <c r="Q25" s="11" t="n">
        <v>0</v>
      </c>
      <c r="R25" s="25" t="n">
        <v>-0.1</v>
      </c>
      <c r="S25" s="25" t="n">
        <v>0.96</v>
      </c>
    </row>
    <row r="26">
      <c r="A26" s="24" t="n">
        <v>45963</v>
      </c>
      <c r="B26" s="10" t="inlineStr">
        <is>
          <t>2025-11</t>
        </is>
      </c>
      <c r="C26" s="11" t="n">
        <v>11</v>
      </c>
      <c r="D26" s="10" t="inlineStr">
        <is>
          <t>Mùa mưa</t>
        </is>
      </c>
      <c r="E26" s="12" t="n">
        <v>31.2</v>
      </c>
      <c r="F26" s="12" t="n">
        <v>23.9</v>
      </c>
      <c r="G26" s="12" t="n">
        <v>26.5</v>
      </c>
      <c r="H26" s="16" t="n">
        <v>26.26</v>
      </c>
      <c r="I26" s="12" t="n">
        <v>28.44</v>
      </c>
      <c r="J26" s="12" t="n">
        <v>24.63</v>
      </c>
      <c r="K26" s="12" t="n">
        <v>3.82</v>
      </c>
      <c r="L26" s="12" t="n">
        <v>7.3</v>
      </c>
      <c r="M26" s="11" t="n">
        <v>85</v>
      </c>
      <c r="N26" s="12" t="n">
        <v>6.8</v>
      </c>
      <c r="O26" s="11" t="n">
        <v>1</v>
      </c>
      <c r="P26" s="11" t="n">
        <v>1</v>
      </c>
      <c r="Q26" s="11" t="n">
        <v>0</v>
      </c>
      <c r="R26" s="25" t="n">
        <v>0.5</v>
      </c>
      <c r="S26" s="25" t="n">
        <v>1.21</v>
      </c>
    </row>
    <row r="27">
      <c r="A27" s="24" t="n">
        <v>45964</v>
      </c>
      <c r="B27" s="10" t="inlineStr">
        <is>
          <t>2025-11</t>
        </is>
      </c>
      <c r="C27" s="11" t="n">
        <v>11</v>
      </c>
      <c r="D27" s="10" t="inlineStr">
        <is>
          <t>Mùa mưa</t>
        </is>
      </c>
      <c r="E27" s="12" t="n">
        <v>28.7</v>
      </c>
      <c r="F27" s="12" t="n">
        <v>24.1</v>
      </c>
      <c r="G27" s="12" t="n">
        <v>26.1</v>
      </c>
      <c r="H27" s="16" t="n">
        <v>26.26</v>
      </c>
      <c r="I27" s="12" t="n">
        <v>27.12</v>
      </c>
      <c r="J27" s="12" t="n">
        <v>25.22</v>
      </c>
      <c r="K27" s="12" t="n">
        <v>1.9</v>
      </c>
      <c r="L27" s="12" t="n">
        <v>4.6</v>
      </c>
      <c r="M27" s="11" t="n">
        <v>89</v>
      </c>
      <c r="N27" s="12" t="n">
        <v>19.3</v>
      </c>
      <c r="O27" s="11" t="n">
        <v>1</v>
      </c>
      <c r="P27" s="11" t="n">
        <v>1</v>
      </c>
      <c r="Q27" s="11" t="n">
        <v>0</v>
      </c>
      <c r="R27" s="25" t="n">
        <v>-2.5</v>
      </c>
      <c r="S27" s="25" t="n">
        <v>-1.39</v>
      </c>
    </row>
    <row r="28">
      <c r="A28" s="24" t="n">
        <v>45965</v>
      </c>
      <c r="B28" s="10" t="inlineStr">
        <is>
          <t>2025-11</t>
        </is>
      </c>
      <c r="C28" s="11" t="n">
        <v>11</v>
      </c>
      <c r="D28" s="10" t="inlineStr">
        <is>
          <t>Mùa mưa</t>
        </is>
      </c>
      <c r="E28" s="12" t="n">
        <v>30.8</v>
      </c>
      <c r="F28" s="12" t="n">
        <v>24</v>
      </c>
      <c r="G28" s="12" t="n">
        <v>26.5</v>
      </c>
      <c r="H28" s="16" t="n">
        <v>26.37</v>
      </c>
      <c r="I28" s="12" t="n">
        <v>28.24</v>
      </c>
      <c r="J28" s="12" t="n">
        <v>24.88</v>
      </c>
      <c r="K28" s="12" t="n">
        <v>3.37</v>
      </c>
      <c r="L28" s="12" t="n">
        <v>6.8</v>
      </c>
      <c r="M28" s="11" t="n">
        <v>87</v>
      </c>
      <c r="N28" s="12" t="n">
        <v>15.1</v>
      </c>
      <c r="O28" s="11" t="n">
        <v>1</v>
      </c>
      <c r="P28" s="11" t="n">
        <v>1</v>
      </c>
      <c r="Q28" s="11" t="n">
        <v>1</v>
      </c>
      <c r="R28" s="25" t="n">
        <v>2.1</v>
      </c>
      <c r="S28" s="25" t="n">
        <v>0.96</v>
      </c>
    </row>
    <row r="29">
      <c r="A29" s="24" t="n">
        <v>45966</v>
      </c>
      <c r="B29" s="10" t="inlineStr">
        <is>
          <t>2025-11</t>
        </is>
      </c>
      <c r="C29" s="11" t="n">
        <v>11</v>
      </c>
      <c r="D29" s="10" t="inlineStr">
        <is>
          <t>Mùa mưa</t>
        </is>
      </c>
      <c r="E29" s="12" t="n">
        <v>29.9</v>
      </c>
      <c r="F29" s="12" t="n">
        <v>24</v>
      </c>
      <c r="G29" s="12" t="n">
        <v>26.2</v>
      </c>
      <c r="H29" s="16" t="n">
        <v>26.39</v>
      </c>
      <c r="I29" s="12" t="n">
        <v>27.67</v>
      </c>
      <c r="J29" s="12" t="n">
        <v>24.86</v>
      </c>
      <c r="K29" s="12" t="n">
        <v>2.81</v>
      </c>
      <c r="L29" s="12" t="n">
        <v>5.9</v>
      </c>
      <c r="M29" s="11" t="n">
        <v>90</v>
      </c>
      <c r="N29" s="12" t="n">
        <v>8.699999999999999</v>
      </c>
      <c r="O29" s="11" t="n">
        <v>1</v>
      </c>
      <c r="P29" s="11" t="n">
        <v>1</v>
      </c>
      <c r="Q29" s="11" t="n">
        <v>0</v>
      </c>
      <c r="R29" s="25" t="n">
        <v>-0.9</v>
      </c>
      <c r="S29" s="25" t="n">
        <v>-0.09</v>
      </c>
    </row>
    <row r="30">
      <c r="A30" s="24" t="n">
        <v>45967</v>
      </c>
      <c r="B30" s="10" t="inlineStr">
        <is>
          <t>2025-11</t>
        </is>
      </c>
      <c r="C30" s="11" t="n">
        <v>11</v>
      </c>
      <c r="D30" s="10" t="inlineStr">
        <is>
          <t>Mùa mưa</t>
        </is>
      </c>
      <c r="E30" s="12" t="n">
        <v>28.6</v>
      </c>
      <c r="F30" s="12" t="n">
        <v>23.9</v>
      </c>
      <c r="G30" s="12" t="n">
        <v>25.8</v>
      </c>
      <c r="H30" s="16" t="n">
        <v>26.33</v>
      </c>
      <c r="I30" s="12" t="n">
        <v>26.79</v>
      </c>
      <c r="J30" s="12" t="n">
        <v>24.88</v>
      </c>
      <c r="K30" s="12" t="n">
        <v>1.91</v>
      </c>
      <c r="L30" s="12" t="n">
        <v>4.7</v>
      </c>
      <c r="M30" s="11" t="n">
        <v>91</v>
      </c>
      <c r="N30" s="12" t="n">
        <v>9.1</v>
      </c>
      <c r="O30" s="11" t="n">
        <v>1</v>
      </c>
      <c r="P30" s="11" t="n">
        <v>1</v>
      </c>
      <c r="Q30" s="11" t="n">
        <v>0</v>
      </c>
      <c r="R30" s="25" t="n">
        <v>-1.3</v>
      </c>
      <c r="S30" s="25" t="n">
        <v>-1.49</v>
      </c>
    </row>
    <row r="31">
      <c r="A31" s="24" t="n">
        <v>45968</v>
      </c>
      <c r="B31" s="10" t="inlineStr">
        <is>
          <t>2025-11</t>
        </is>
      </c>
      <c r="C31" s="11" t="n">
        <v>11</v>
      </c>
      <c r="D31" s="10" t="inlineStr">
        <is>
          <t>Mùa mưa</t>
        </is>
      </c>
      <c r="E31" s="12" t="n">
        <v>31.3</v>
      </c>
      <c r="F31" s="12" t="n">
        <v>24.3</v>
      </c>
      <c r="G31" s="12" t="n">
        <v>26.3</v>
      </c>
      <c r="H31" s="16" t="n">
        <v>26.23</v>
      </c>
      <c r="I31" s="12" t="n">
        <v>27.81</v>
      </c>
      <c r="J31" s="12" t="n">
        <v>24.85</v>
      </c>
      <c r="K31" s="12" t="n">
        <v>2.96</v>
      </c>
      <c r="L31" s="12" t="n">
        <v>7</v>
      </c>
      <c r="M31" s="11" t="n">
        <v>90</v>
      </c>
      <c r="N31" s="12" t="n">
        <v>8.9</v>
      </c>
      <c r="O31" s="11" t="n">
        <v>1</v>
      </c>
      <c r="P31" s="11" t="n">
        <v>1</v>
      </c>
      <c r="Q31" s="11" t="n">
        <v>1</v>
      </c>
      <c r="R31" s="25" t="n">
        <v>2.7</v>
      </c>
      <c r="S31" s="25" t="n">
        <v>1.2</v>
      </c>
    </row>
    <row r="32">
      <c r="A32" s="24" t="n">
        <v>45969</v>
      </c>
      <c r="B32" s="10" t="inlineStr">
        <is>
          <t>2025-11</t>
        </is>
      </c>
      <c r="C32" s="11" t="n">
        <v>11</v>
      </c>
      <c r="D32" s="10" t="inlineStr">
        <is>
          <t>Mùa mưa</t>
        </is>
      </c>
      <c r="E32" s="12" t="n">
        <v>31.1</v>
      </c>
      <c r="F32" s="12" t="n">
        <v>24.4</v>
      </c>
      <c r="G32" s="12" t="n">
        <v>27</v>
      </c>
      <c r="H32" s="16" t="n">
        <v>26.34</v>
      </c>
      <c r="I32" s="12" t="n">
        <v>28.83</v>
      </c>
      <c r="J32" s="12" t="n">
        <v>25.28</v>
      </c>
      <c r="K32" s="12" t="n">
        <v>3.56</v>
      </c>
      <c r="L32" s="12" t="n">
        <v>6.7</v>
      </c>
      <c r="M32" s="11" t="n">
        <v>88</v>
      </c>
      <c r="N32" s="12" t="n">
        <v>5.3</v>
      </c>
      <c r="O32" s="11" t="n">
        <v>1</v>
      </c>
      <c r="P32" s="11" t="n">
        <v>1</v>
      </c>
      <c r="Q32" s="11" t="n">
        <v>0</v>
      </c>
      <c r="R32" s="25" t="n">
        <v>-0.2</v>
      </c>
      <c r="S32" s="25" t="n">
        <v>0.93</v>
      </c>
    </row>
    <row r="33">
      <c r="A33" s="24" t="n">
        <v>45970</v>
      </c>
      <c r="B33" s="10" t="inlineStr">
        <is>
          <t>2025-11</t>
        </is>
      </c>
      <c r="C33" s="11" t="n">
        <v>11</v>
      </c>
      <c r="D33" s="10" t="inlineStr">
        <is>
          <t>Mùa mưa</t>
        </is>
      </c>
      <c r="E33" s="12" t="n">
        <v>31.5</v>
      </c>
      <c r="F33" s="12" t="n">
        <v>24.1</v>
      </c>
      <c r="G33" s="12" t="n">
        <v>27</v>
      </c>
      <c r="H33" s="16" t="n">
        <v>26.41</v>
      </c>
      <c r="I33" s="12" t="n">
        <v>28.62</v>
      </c>
      <c r="J33" s="12" t="n">
        <v>25.42</v>
      </c>
      <c r="K33" s="12" t="n">
        <v>3.2</v>
      </c>
      <c r="L33" s="12" t="n">
        <v>7.4</v>
      </c>
      <c r="M33" s="11" t="n">
        <v>88</v>
      </c>
      <c r="N33" s="12" t="n">
        <v>9.800000000000001</v>
      </c>
      <c r="O33" s="11" t="n">
        <v>1</v>
      </c>
      <c r="P33" s="11" t="n">
        <v>1</v>
      </c>
      <c r="Q33" s="11" t="n">
        <v>0</v>
      </c>
      <c r="R33" s="25" t="n">
        <v>0.4</v>
      </c>
      <c r="S33" s="25" t="n">
        <v>1.27</v>
      </c>
    </row>
    <row r="34">
      <c r="A34" s="24" t="n">
        <v>45971</v>
      </c>
      <c r="B34" s="10" t="inlineStr">
        <is>
          <t>2025-11</t>
        </is>
      </c>
      <c r="C34" s="11" t="n">
        <v>11</v>
      </c>
      <c r="D34" s="10" t="inlineStr">
        <is>
          <t>Mùa mưa</t>
        </is>
      </c>
      <c r="E34" s="12" t="n">
        <v>31.7</v>
      </c>
      <c r="F34" s="12" t="n">
        <v>24.5</v>
      </c>
      <c r="G34" s="12" t="n">
        <v>27</v>
      </c>
      <c r="H34" s="16" t="n">
        <v>26.54</v>
      </c>
      <c r="I34" s="12" t="n">
        <v>28.78</v>
      </c>
      <c r="J34" s="12" t="n">
        <v>25.17</v>
      </c>
      <c r="K34" s="12" t="n">
        <v>3.62</v>
      </c>
      <c r="L34" s="12" t="n">
        <v>7.2</v>
      </c>
      <c r="M34" s="11" t="n">
        <v>88</v>
      </c>
      <c r="N34" s="12" t="n">
        <v>2</v>
      </c>
      <c r="O34" s="11" t="n">
        <v>1</v>
      </c>
      <c r="P34" s="11" t="n">
        <v>1</v>
      </c>
      <c r="Q34" s="11" t="n">
        <v>0</v>
      </c>
      <c r="R34" s="25" t="n">
        <v>0.2</v>
      </c>
      <c r="S34" s="25" t="n">
        <v>1.43</v>
      </c>
    </row>
    <row r="35">
      <c r="A35" s="24" t="n">
        <v>45972</v>
      </c>
      <c r="B35" s="10" t="inlineStr">
        <is>
          <t>2025-11</t>
        </is>
      </c>
      <c r="C35" s="11" t="n">
        <v>11</v>
      </c>
      <c r="D35" s="10" t="inlineStr">
        <is>
          <t>Mùa mưa</t>
        </is>
      </c>
      <c r="E35" s="12" t="n">
        <v>31.6</v>
      </c>
      <c r="F35" s="12" t="n">
        <v>23.8</v>
      </c>
      <c r="G35" s="12" t="n">
        <v>26.9</v>
      </c>
      <c r="H35" s="16" t="n">
        <v>26.6</v>
      </c>
      <c r="I35" s="12" t="n">
        <v>28.63</v>
      </c>
      <c r="J35" s="12" t="n">
        <v>25.28</v>
      </c>
      <c r="K35" s="12" t="n">
        <v>3.35</v>
      </c>
      <c r="L35" s="12" t="n">
        <v>7.8</v>
      </c>
      <c r="M35" s="11" t="n">
        <v>86</v>
      </c>
      <c r="N35" s="12" t="n">
        <v>3.8</v>
      </c>
      <c r="O35" s="11" t="n">
        <v>1</v>
      </c>
      <c r="P35" s="11" t="n">
        <v>1</v>
      </c>
      <c r="Q35" s="11" t="n">
        <v>0</v>
      </c>
      <c r="R35" s="25" t="n">
        <v>-0.1</v>
      </c>
      <c r="S35" s="25" t="n">
        <v>0.9</v>
      </c>
    </row>
    <row r="36">
      <c r="A36" s="24" t="n">
        <v>45973</v>
      </c>
      <c r="B36" s="10" t="inlineStr">
        <is>
          <t>2025-11</t>
        </is>
      </c>
      <c r="C36" s="11" t="n">
        <v>11</v>
      </c>
      <c r="D36" s="10" t="inlineStr">
        <is>
          <t>Mùa mưa</t>
        </is>
      </c>
      <c r="E36" s="12" t="n">
        <v>30.4</v>
      </c>
      <c r="F36" s="12" t="n">
        <v>24.2</v>
      </c>
      <c r="G36" s="12" t="n">
        <v>26.4</v>
      </c>
      <c r="H36" s="16" t="n">
        <v>26.63</v>
      </c>
      <c r="I36" s="12" t="n">
        <v>27.81</v>
      </c>
      <c r="J36" s="12" t="n">
        <v>24.96</v>
      </c>
      <c r="K36" s="12" t="n">
        <v>2.85</v>
      </c>
      <c r="L36" s="12" t="n">
        <v>6.2</v>
      </c>
      <c r="M36" s="11" t="n">
        <v>88</v>
      </c>
      <c r="N36" s="12" t="n">
        <v>7.1</v>
      </c>
      <c r="O36" s="11" t="n">
        <v>1</v>
      </c>
      <c r="P36" s="11" t="n">
        <v>1</v>
      </c>
      <c r="Q36" s="11" t="n">
        <v>0</v>
      </c>
      <c r="R36" s="25" t="n">
        <v>-1.2</v>
      </c>
      <c r="S36" s="25" t="n">
        <v>-0.41</v>
      </c>
    </row>
    <row r="37">
      <c r="A37" s="24" t="n">
        <v>45974</v>
      </c>
      <c r="B37" s="10" t="inlineStr">
        <is>
          <t>2025-11</t>
        </is>
      </c>
      <c r="C37" s="11" t="n">
        <v>11</v>
      </c>
      <c r="D37" s="10" t="inlineStr">
        <is>
          <t>Mùa mưa</t>
        </is>
      </c>
      <c r="E37" s="12" t="n">
        <v>31.8</v>
      </c>
      <c r="F37" s="12" t="n">
        <v>23.7</v>
      </c>
      <c r="G37" s="12" t="n">
        <v>26.8</v>
      </c>
      <c r="H37" s="16" t="n">
        <v>26.77</v>
      </c>
      <c r="I37" s="12" t="n">
        <v>28.79</v>
      </c>
      <c r="J37" s="12" t="n">
        <v>24.83</v>
      </c>
      <c r="K37" s="12" t="n">
        <v>3.96</v>
      </c>
      <c r="L37" s="12" t="n">
        <v>8.1</v>
      </c>
      <c r="M37" s="11" t="n">
        <v>86</v>
      </c>
      <c r="N37" s="12" t="n">
        <v>9.1</v>
      </c>
      <c r="O37" s="11" t="n">
        <v>1</v>
      </c>
      <c r="P37" s="11" t="n">
        <v>0</v>
      </c>
      <c r="Q37" s="11" t="n">
        <v>0</v>
      </c>
      <c r="R37" s="25" t="n">
        <v>1.4</v>
      </c>
      <c r="S37" s="25" t="n">
        <v>0.91</v>
      </c>
    </row>
    <row r="38">
      <c r="A38" s="24" t="n">
        <v>45975</v>
      </c>
      <c r="B38" s="10" t="inlineStr">
        <is>
          <t>2025-11</t>
        </is>
      </c>
      <c r="C38" s="11" t="n">
        <v>11</v>
      </c>
      <c r="D38" s="10" t="inlineStr">
        <is>
          <t>Mùa mưa</t>
        </is>
      </c>
      <c r="E38" s="12" t="n">
        <v>31.7</v>
      </c>
      <c r="F38" s="12" t="n">
        <v>23.4</v>
      </c>
      <c r="G38" s="12" t="n">
        <v>26.9</v>
      </c>
      <c r="H38" s="16" t="n">
        <v>26.86</v>
      </c>
      <c r="I38" s="12" t="n">
        <v>28.63</v>
      </c>
      <c r="J38" s="12" t="n">
        <v>25.13</v>
      </c>
      <c r="K38" s="12" t="n">
        <v>3.49</v>
      </c>
      <c r="L38" s="12" t="n">
        <v>8.300000000000001</v>
      </c>
      <c r="M38" s="11" t="n">
        <v>79</v>
      </c>
      <c r="N38" s="12" t="n">
        <v>0.2</v>
      </c>
      <c r="O38" s="11" t="n">
        <v>0</v>
      </c>
      <c r="P38" s="11" t="n">
        <v>0</v>
      </c>
      <c r="Q38" s="11" t="n">
        <v>0</v>
      </c>
      <c r="R38" s="25" t="n">
        <v>-0.1</v>
      </c>
      <c r="S38" s="25" t="n">
        <v>0.36</v>
      </c>
    </row>
    <row r="39">
      <c r="A39" s="24" t="n">
        <v>45976</v>
      </c>
      <c r="B39" s="10" t="inlineStr">
        <is>
          <t>2025-11</t>
        </is>
      </c>
      <c r="C39" s="11" t="n">
        <v>11</v>
      </c>
      <c r="D39" s="10" t="inlineStr">
        <is>
          <t>Mùa mưa</t>
        </is>
      </c>
      <c r="E39" s="12" t="n">
        <v>31.2</v>
      </c>
      <c r="F39" s="12" t="n">
        <v>20.6</v>
      </c>
      <c r="G39" s="12" t="n">
        <v>25.9</v>
      </c>
      <c r="H39" s="16" t="n">
        <v>26.7</v>
      </c>
      <c r="I39" s="12" t="n">
        <v>27.57</v>
      </c>
      <c r="J39" s="12" t="n">
        <v>24.31</v>
      </c>
      <c r="K39" s="12" t="n">
        <v>3.27</v>
      </c>
      <c r="L39" s="12" t="n">
        <v>10.6</v>
      </c>
      <c r="M39" s="11" t="n">
        <v>75</v>
      </c>
      <c r="N39" s="12" t="n">
        <v>0</v>
      </c>
      <c r="O39" s="11" t="n">
        <v>0</v>
      </c>
      <c r="P39" s="11" t="n">
        <v>1</v>
      </c>
      <c r="Q39" s="11" t="n">
        <v>0</v>
      </c>
      <c r="R39" s="25" t="n">
        <v>-0.5</v>
      </c>
      <c r="S39" s="25" t="n">
        <v>-0.2</v>
      </c>
    </row>
    <row r="40">
      <c r="A40" s="24" t="n">
        <v>45977</v>
      </c>
      <c r="B40" s="10" t="inlineStr">
        <is>
          <t>2025-11</t>
        </is>
      </c>
      <c r="C40" s="11" t="n">
        <v>11</v>
      </c>
      <c r="D40" s="10" t="inlineStr">
        <is>
          <t>Mùa mưa</t>
        </is>
      </c>
      <c r="E40" s="12" t="n">
        <v>29.6</v>
      </c>
      <c r="F40" s="12" t="n">
        <v>23.6</v>
      </c>
      <c r="G40" s="12" t="n">
        <v>25.1</v>
      </c>
      <c r="H40" s="16" t="n">
        <v>26.43</v>
      </c>
      <c r="I40" s="12" t="n">
        <v>26.22</v>
      </c>
      <c r="J40" s="12" t="n">
        <v>24.1</v>
      </c>
      <c r="K40" s="12" t="n">
        <v>2.13</v>
      </c>
      <c r="L40" s="12" t="n">
        <v>6</v>
      </c>
      <c r="M40" s="11" t="n">
        <v>88</v>
      </c>
      <c r="N40" s="12" t="n">
        <v>21.7</v>
      </c>
      <c r="O40" s="11" t="n">
        <v>1</v>
      </c>
      <c r="P40" s="11" t="n">
        <v>1</v>
      </c>
      <c r="Q40" s="11" t="n">
        <v>0</v>
      </c>
      <c r="R40" s="25" t="n">
        <v>-1.6</v>
      </c>
      <c r="S40" s="25" t="n">
        <v>-1.81</v>
      </c>
    </row>
    <row r="41">
      <c r="A41" s="24" t="n">
        <v>45978</v>
      </c>
      <c r="B41" s="10" t="inlineStr">
        <is>
          <t>2025-11</t>
        </is>
      </c>
      <c r="C41" s="11" t="n">
        <v>11</v>
      </c>
      <c r="D41" s="10" t="inlineStr">
        <is>
          <t>Mùa mưa</t>
        </is>
      </c>
      <c r="E41" s="12" t="n">
        <v>28.6</v>
      </c>
      <c r="F41" s="12" t="n">
        <v>23.4</v>
      </c>
      <c r="G41" s="12" t="n">
        <v>25.5</v>
      </c>
      <c r="H41" s="16" t="n">
        <v>26.21</v>
      </c>
      <c r="I41" s="12" t="n">
        <v>26.39</v>
      </c>
      <c r="J41" s="12" t="n">
        <v>24.63</v>
      </c>
      <c r="K41" s="12" t="n">
        <v>1.76</v>
      </c>
      <c r="L41" s="12" t="n">
        <v>5.2</v>
      </c>
      <c r="M41" s="11" t="n">
        <v>90</v>
      </c>
      <c r="N41" s="12" t="n">
        <v>11.9</v>
      </c>
      <c r="O41" s="11" t="n">
        <v>1</v>
      </c>
      <c r="P41" s="11" t="n">
        <v>1</v>
      </c>
      <c r="Q41" s="11" t="n">
        <v>0</v>
      </c>
      <c r="R41" s="25" t="n">
        <v>-1</v>
      </c>
      <c r="S41" s="25" t="n">
        <v>-2.54</v>
      </c>
    </row>
    <row r="42">
      <c r="A42" s="24" t="n">
        <v>45979</v>
      </c>
      <c r="B42" s="10" t="inlineStr">
        <is>
          <t>2025-11</t>
        </is>
      </c>
      <c r="C42" s="11" t="n">
        <v>11</v>
      </c>
      <c r="D42" s="10" t="inlineStr">
        <is>
          <t>Mùa mưa</t>
        </is>
      </c>
      <c r="E42" s="12" t="n">
        <v>30.1</v>
      </c>
      <c r="F42" s="12" t="n">
        <v>24.1</v>
      </c>
      <c r="G42" s="12" t="n">
        <v>26</v>
      </c>
      <c r="H42" s="16" t="n">
        <v>26.09</v>
      </c>
      <c r="I42" s="12" t="n">
        <v>27.24</v>
      </c>
      <c r="J42" s="12" t="n">
        <v>24.86</v>
      </c>
      <c r="K42" s="12" t="n">
        <v>2.38</v>
      </c>
      <c r="L42" s="12" t="n">
        <v>6</v>
      </c>
      <c r="M42" s="11" t="n">
        <v>90</v>
      </c>
      <c r="N42" s="12" t="n">
        <v>10.1</v>
      </c>
      <c r="O42" s="11" t="n">
        <v>1</v>
      </c>
      <c r="P42" s="11" t="n">
        <v>1</v>
      </c>
      <c r="Q42" s="11" t="n">
        <v>0</v>
      </c>
      <c r="R42" s="25" t="n">
        <v>1.5</v>
      </c>
      <c r="S42" s="25" t="n">
        <v>-0.6</v>
      </c>
    </row>
    <row r="43">
      <c r="A43" s="24" t="n">
        <v>45980</v>
      </c>
      <c r="B43" s="10" t="inlineStr">
        <is>
          <t>2025-11</t>
        </is>
      </c>
      <c r="C43" s="11" t="n">
        <v>11</v>
      </c>
      <c r="D43" s="10" t="inlineStr">
        <is>
          <t>Mùa mưa</t>
        </is>
      </c>
      <c r="E43" s="12" t="n">
        <v>31.3</v>
      </c>
      <c r="F43" s="12" t="n">
        <v>23.1</v>
      </c>
      <c r="G43" s="12" t="n">
        <v>25.4</v>
      </c>
      <c r="H43" s="16" t="n">
        <v>25.94</v>
      </c>
      <c r="I43" s="12" t="n">
        <v>26.76</v>
      </c>
      <c r="J43" s="12" t="n">
        <v>24.01</v>
      </c>
      <c r="K43" s="12" t="n">
        <v>2.75</v>
      </c>
      <c r="L43" s="12" t="n">
        <v>8.199999999999999</v>
      </c>
      <c r="M43" s="11" t="n">
        <v>91</v>
      </c>
      <c r="N43" s="12" t="n">
        <v>23.2</v>
      </c>
      <c r="O43" s="11" t="n">
        <v>1</v>
      </c>
      <c r="P43" s="11" t="n">
        <v>0</v>
      </c>
      <c r="Q43" s="11" t="n">
        <v>0</v>
      </c>
      <c r="R43" s="25" t="n">
        <v>1.2</v>
      </c>
      <c r="S43" s="25" t="n">
        <v>0.8100000000000001</v>
      </c>
    </row>
    <row r="44">
      <c r="A44" s="24" t="n">
        <v>45981</v>
      </c>
      <c r="B44" s="10" t="inlineStr">
        <is>
          <t>2025-11</t>
        </is>
      </c>
      <c r="C44" s="11" t="n">
        <v>11</v>
      </c>
      <c r="D44" s="10" t="inlineStr">
        <is>
          <t>Mùa mưa</t>
        </is>
      </c>
      <c r="E44" s="12" t="n">
        <v>29</v>
      </c>
      <c r="F44" s="12" t="n">
        <v>22.4</v>
      </c>
      <c r="G44" s="12" t="n">
        <v>25.4</v>
      </c>
      <c r="H44" s="16" t="n">
        <v>25.74</v>
      </c>
      <c r="I44" s="12" t="n">
        <v>26.53</v>
      </c>
      <c r="J44" s="12" t="n">
        <v>24.34</v>
      </c>
      <c r="K44" s="12" t="n">
        <v>2.19</v>
      </c>
      <c r="L44" s="12" t="n">
        <v>6.6</v>
      </c>
      <c r="M44" s="11" t="n">
        <v>82</v>
      </c>
      <c r="N44" s="12" t="n">
        <v>0.6</v>
      </c>
      <c r="O44" s="11" t="n">
        <v>0</v>
      </c>
      <c r="P44" s="11" t="n">
        <v>0</v>
      </c>
      <c r="Q44" s="11" t="n">
        <v>0</v>
      </c>
      <c r="R44" s="25" t="n">
        <v>-2.3</v>
      </c>
      <c r="S44" s="25" t="n">
        <v>-1.61</v>
      </c>
    </row>
    <row r="45">
      <c r="A45" s="24" t="n">
        <v>45982</v>
      </c>
      <c r="B45" s="10" t="inlineStr">
        <is>
          <t>2025-11</t>
        </is>
      </c>
      <c r="C45" s="11" t="n">
        <v>11</v>
      </c>
      <c r="D45" s="10" t="inlineStr">
        <is>
          <t>Mùa mưa</t>
        </is>
      </c>
      <c r="E45" s="12" t="n">
        <v>29.5</v>
      </c>
      <c r="F45" s="12" t="n">
        <v>22.9</v>
      </c>
      <c r="G45" s="12" t="n">
        <v>25.7</v>
      </c>
      <c r="H45" s="16" t="n">
        <v>25.57</v>
      </c>
      <c r="I45" s="12" t="n">
        <v>27.05</v>
      </c>
      <c r="J45" s="12" t="n">
        <v>24.39</v>
      </c>
      <c r="K45" s="12" t="n">
        <v>2.66</v>
      </c>
      <c r="L45" s="12" t="n">
        <v>6.6</v>
      </c>
      <c r="M45" s="11" t="n">
        <v>80</v>
      </c>
      <c r="N45" s="12" t="n">
        <v>0.3</v>
      </c>
      <c r="O45" s="11" t="n">
        <v>0</v>
      </c>
      <c r="P45" s="11" t="n">
        <v>1</v>
      </c>
      <c r="Q45" s="11" t="n">
        <v>0</v>
      </c>
      <c r="R45" s="25" t="n">
        <v>0.5</v>
      </c>
      <c r="S45" s="25" t="n">
        <v>-0.71</v>
      </c>
    </row>
    <row r="46">
      <c r="A46" s="24" t="n">
        <v>45983</v>
      </c>
      <c r="B46" s="10" t="inlineStr">
        <is>
          <t>2025-11</t>
        </is>
      </c>
      <c r="C46" s="11" t="n">
        <v>11</v>
      </c>
      <c r="D46" s="10" t="inlineStr">
        <is>
          <t>Mùa mưa</t>
        </is>
      </c>
      <c r="E46" s="12" t="n">
        <v>27.6</v>
      </c>
      <c r="F46" s="12" t="n">
        <v>23.3</v>
      </c>
      <c r="G46" s="12" t="n">
        <v>25.1</v>
      </c>
      <c r="H46" s="16" t="n">
        <v>25.46</v>
      </c>
      <c r="I46" s="12" t="n">
        <v>25.72</v>
      </c>
      <c r="J46" s="12" t="n">
        <v>24.54</v>
      </c>
      <c r="K46" s="12" t="n">
        <v>1.18</v>
      </c>
      <c r="L46" s="12" t="n">
        <v>4.3</v>
      </c>
      <c r="M46" s="11" t="n">
        <v>83</v>
      </c>
      <c r="N46" s="12" t="n">
        <v>2.7</v>
      </c>
      <c r="O46" s="11" t="n">
        <v>1</v>
      </c>
      <c r="P46" s="11" t="n">
        <v>1</v>
      </c>
      <c r="Q46" s="11" t="n">
        <v>0</v>
      </c>
      <c r="R46" s="25" t="n">
        <v>-1.9</v>
      </c>
      <c r="S46" s="25" t="n">
        <v>-2.3</v>
      </c>
    </row>
    <row r="47">
      <c r="A47" s="24" t="n">
        <v>45984</v>
      </c>
      <c r="B47" s="10" t="inlineStr">
        <is>
          <t>2025-11</t>
        </is>
      </c>
      <c r="C47" s="11" t="n">
        <v>11</v>
      </c>
      <c r="D47" s="10" t="inlineStr">
        <is>
          <t>Mùa mưa</t>
        </is>
      </c>
      <c r="E47" s="12" t="n">
        <v>31.1</v>
      </c>
      <c r="F47" s="12" t="n">
        <v>23.5</v>
      </c>
      <c r="G47" s="12" t="n">
        <v>26</v>
      </c>
      <c r="H47" s="16" t="n">
        <v>25.59</v>
      </c>
      <c r="I47" s="12" t="n">
        <v>27.39</v>
      </c>
      <c r="J47" s="12" t="n">
        <v>24.69</v>
      </c>
      <c r="K47" s="12" t="n">
        <v>2.7</v>
      </c>
      <c r="L47" s="12" t="n">
        <v>7.6</v>
      </c>
      <c r="M47" s="11" t="n">
        <v>86</v>
      </c>
      <c r="N47" s="12" t="n">
        <v>4.4</v>
      </c>
      <c r="O47" s="11" t="n">
        <v>1</v>
      </c>
      <c r="P47" s="11" t="n">
        <v>1</v>
      </c>
      <c r="Q47" s="11" t="n">
        <v>1</v>
      </c>
      <c r="R47" s="25" t="n">
        <v>3.5</v>
      </c>
      <c r="S47" s="25" t="n">
        <v>1.71</v>
      </c>
    </row>
    <row r="48">
      <c r="A48" s="24" t="n">
        <v>45985</v>
      </c>
      <c r="B48" s="10" t="inlineStr">
        <is>
          <t>2025-11</t>
        </is>
      </c>
      <c r="C48" s="11" t="n">
        <v>11</v>
      </c>
      <c r="D48" s="10" t="inlineStr">
        <is>
          <t>Mùa mưa</t>
        </is>
      </c>
      <c r="E48" s="12" t="n">
        <v>31.9</v>
      </c>
      <c r="F48" s="12" t="n">
        <v>23.6</v>
      </c>
      <c r="G48" s="12" t="n">
        <v>27.2</v>
      </c>
      <c r="H48" s="16" t="n">
        <v>25.83</v>
      </c>
      <c r="I48" s="12" t="n">
        <v>29.2</v>
      </c>
      <c r="J48" s="12" t="n">
        <v>25.26</v>
      </c>
      <c r="K48" s="12" t="n">
        <v>3.94</v>
      </c>
      <c r="L48" s="12" t="n">
        <v>8.300000000000001</v>
      </c>
      <c r="M48" s="11" t="n">
        <v>83</v>
      </c>
      <c r="N48" s="12" t="n">
        <v>1.2</v>
      </c>
      <c r="O48" s="11" t="n">
        <v>1</v>
      </c>
      <c r="P48" s="11" t="n">
        <v>0</v>
      </c>
      <c r="Q48" s="11" t="n">
        <v>1</v>
      </c>
      <c r="R48" s="25" t="n">
        <v>0.8</v>
      </c>
      <c r="S48" s="25" t="n">
        <v>2.3</v>
      </c>
    </row>
    <row r="49">
      <c r="A49" s="24" t="n">
        <v>45986</v>
      </c>
      <c r="B49" s="10" t="inlineStr">
        <is>
          <t>2025-11</t>
        </is>
      </c>
      <c r="C49" s="11" t="n">
        <v>11</v>
      </c>
      <c r="D49" s="10" t="inlineStr">
        <is>
          <t>Mùa mưa</t>
        </is>
      </c>
      <c r="E49" s="12" t="n">
        <v>31.7</v>
      </c>
      <c r="F49" s="12" t="n">
        <v>23.6</v>
      </c>
      <c r="G49" s="12" t="n">
        <v>26.9</v>
      </c>
      <c r="H49" s="16" t="n">
        <v>25.96</v>
      </c>
      <c r="I49" s="12" t="n">
        <v>28.87</v>
      </c>
      <c r="J49" s="12" t="n">
        <v>24.98</v>
      </c>
      <c r="K49" s="12" t="n">
        <v>3.88</v>
      </c>
      <c r="L49" s="12" t="n">
        <v>8.1</v>
      </c>
      <c r="M49" s="11" t="n">
        <v>74</v>
      </c>
      <c r="N49" s="12" t="n">
        <v>0</v>
      </c>
      <c r="O49" s="11" t="n">
        <v>0</v>
      </c>
      <c r="P49" s="11" t="n">
        <v>0</v>
      </c>
      <c r="Q49" s="11" t="n">
        <v>0</v>
      </c>
      <c r="R49" s="25" t="n">
        <v>-0.2</v>
      </c>
      <c r="S49" s="25" t="n">
        <v>1.63</v>
      </c>
    </row>
    <row r="50">
      <c r="A50" s="24" t="n">
        <v>45987</v>
      </c>
      <c r="B50" s="10" t="inlineStr">
        <is>
          <t>2025-11</t>
        </is>
      </c>
      <c r="C50" s="11" t="n">
        <v>11</v>
      </c>
      <c r="D50" s="10" t="inlineStr">
        <is>
          <t>Mùa mưa</t>
        </is>
      </c>
      <c r="E50" s="12" t="n">
        <v>31.1</v>
      </c>
      <c r="F50" s="12" t="n">
        <v>21.8</v>
      </c>
      <c r="G50" s="12" t="n">
        <v>25.9</v>
      </c>
      <c r="H50" s="16" t="n">
        <v>26.03</v>
      </c>
      <c r="I50" s="12" t="n">
        <v>27.72</v>
      </c>
      <c r="J50" s="12" t="n">
        <v>24.17</v>
      </c>
      <c r="K50" s="12" t="n">
        <v>3.55</v>
      </c>
      <c r="L50" s="12" t="n">
        <v>9.300000000000001</v>
      </c>
      <c r="M50" s="11" t="n">
        <v>70</v>
      </c>
      <c r="N50" s="12" t="n">
        <v>0</v>
      </c>
      <c r="O50" s="11" t="n">
        <v>0</v>
      </c>
      <c r="P50" s="11" t="n">
        <v>0</v>
      </c>
      <c r="Q50" s="11" t="n">
        <v>0</v>
      </c>
      <c r="R50" s="25" t="n">
        <v>-0.6</v>
      </c>
      <c r="S50" s="25" t="n">
        <v>0.8</v>
      </c>
    </row>
    <row r="51">
      <c r="A51" s="24" t="n">
        <v>45988</v>
      </c>
      <c r="B51" s="10" t="inlineStr">
        <is>
          <t>2025-11</t>
        </is>
      </c>
      <c r="C51" s="11" t="n">
        <v>11</v>
      </c>
      <c r="D51" s="10" t="inlineStr">
        <is>
          <t>Mùa mưa</t>
        </is>
      </c>
      <c r="E51" s="12" t="n">
        <v>30.6</v>
      </c>
      <c r="F51" s="12" t="n">
        <v>21.9</v>
      </c>
      <c r="G51" s="12" t="n">
        <v>25.6</v>
      </c>
      <c r="H51" s="16" t="n">
        <v>26.06</v>
      </c>
      <c r="I51" s="12" t="n">
        <v>27.53</v>
      </c>
      <c r="J51" s="12" t="n">
        <v>23.68</v>
      </c>
      <c r="K51" s="12" t="n">
        <v>3.84</v>
      </c>
      <c r="L51" s="12" t="n">
        <v>8.699999999999999</v>
      </c>
      <c r="M51" s="11" t="n">
        <v>69</v>
      </c>
      <c r="N51" s="12" t="n">
        <v>0</v>
      </c>
      <c r="O51" s="11" t="n">
        <v>0</v>
      </c>
      <c r="P51" s="11" t="n">
        <v>0</v>
      </c>
      <c r="Q51" s="11" t="n">
        <v>0</v>
      </c>
      <c r="R51" s="25" t="n">
        <v>-0.5</v>
      </c>
      <c r="S51" s="25" t="n">
        <v>0.33</v>
      </c>
    </row>
    <row r="52">
      <c r="A52" s="24" t="n">
        <v>45989</v>
      </c>
      <c r="B52" s="10" t="inlineStr">
        <is>
          <t>2025-11</t>
        </is>
      </c>
      <c r="C52" s="11" t="n">
        <v>11</v>
      </c>
      <c r="D52" s="10" t="inlineStr">
        <is>
          <t>Mùa mưa</t>
        </is>
      </c>
      <c r="E52" s="12" t="n">
        <v>29.3</v>
      </c>
      <c r="F52" s="12" t="n">
        <v>19.5</v>
      </c>
      <c r="G52" s="12" t="n">
        <v>24.5</v>
      </c>
      <c r="H52" s="16" t="n">
        <v>25.89</v>
      </c>
      <c r="I52" s="12" t="n">
        <v>25.78</v>
      </c>
      <c r="J52" s="12" t="n">
        <v>23.25</v>
      </c>
      <c r="K52" s="12" t="n">
        <v>2.53</v>
      </c>
      <c r="L52" s="12" t="n">
        <v>9.800000000000001</v>
      </c>
      <c r="M52" s="11" t="n">
        <v>63</v>
      </c>
      <c r="N52" s="12" t="n">
        <v>0</v>
      </c>
      <c r="O52" s="11" t="n">
        <v>0</v>
      </c>
      <c r="P52" s="11" t="n">
        <v>0</v>
      </c>
      <c r="Q52" s="11" t="n">
        <v>0</v>
      </c>
      <c r="R52" s="25" t="n">
        <v>-1.3</v>
      </c>
      <c r="S52" s="25" t="n">
        <v>-1.2</v>
      </c>
    </row>
    <row r="53">
      <c r="A53" s="24" t="n">
        <v>45990</v>
      </c>
      <c r="B53" s="10" t="inlineStr">
        <is>
          <t>2025-11</t>
        </is>
      </c>
      <c r="C53" s="11" t="n">
        <v>11</v>
      </c>
      <c r="D53" s="10" t="inlineStr">
        <is>
          <t>Mùa mưa</t>
        </is>
      </c>
      <c r="E53" s="12" t="n">
        <v>31.5</v>
      </c>
      <c r="F53" s="12" t="n">
        <v>20.8</v>
      </c>
      <c r="G53" s="12" t="n">
        <v>26</v>
      </c>
      <c r="H53" s="16" t="n">
        <v>26.01</v>
      </c>
      <c r="I53" s="12" t="n">
        <v>27.83</v>
      </c>
      <c r="J53" s="12" t="n">
        <v>24.28</v>
      </c>
      <c r="K53" s="12" t="n">
        <v>3.55</v>
      </c>
      <c r="L53" s="12" t="n">
        <v>10.7</v>
      </c>
      <c r="M53" s="11" t="n">
        <v>67</v>
      </c>
      <c r="N53" s="12" t="n">
        <v>0</v>
      </c>
      <c r="O53" s="11" t="n">
        <v>0</v>
      </c>
      <c r="P53" s="11" t="n">
        <v>0</v>
      </c>
      <c r="Q53" s="11" t="n">
        <v>1</v>
      </c>
      <c r="R53" s="25" t="n">
        <v>2.2</v>
      </c>
      <c r="S53" s="25" t="n">
        <v>1.03</v>
      </c>
    </row>
    <row r="54">
      <c r="A54" s="24" t="n">
        <v>45991</v>
      </c>
      <c r="B54" s="10" t="inlineStr">
        <is>
          <t>2025-11</t>
        </is>
      </c>
      <c r="C54" s="11" t="n">
        <v>11</v>
      </c>
      <c r="D54" s="10" t="inlineStr">
        <is>
          <t>Mùa mưa</t>
        </is>
      </c>
      <c r="E54" s="12" t="n">
        <v>33</v>
      </c>
      <c r="F54" s="12" t="n">
        <v>22.5</v>
      </c>
      <c r="G54" s="12" t="n">
        <v>27.9</v>
      </c>
      <c r="H54" s="16" t="n">
        <v>26.29</v>
      </c>
      <c r="I54" s="12" t="n">
        <v>29.68</v>
      </c>
      <c r="J54" s="12" t="n">
        <v>26.22</v>
      </c>
      <c r="K54" s="12" t="n">
        <v>3.46</v>
      </c>
      <c r="L54" s="12" t="n">
        <v>10.5</v>
      </c>
      <c r="M54" s="11" t="n">
        <v>65</v>
      </c>
      <c r="N54" s="12" t="n">
        <v>0.6</v>
      </c>
      <c r="O54" s="11" t="n">
        <v>0</v>
      </c>
      <c r="P54" s="11" t="n">
        <v>0</v>
      </c>
      <c r="Q54" s="11" t="n">
        <v>0</v>
      </c>
      <c r="R54" s="25" t="n">
        <v>1.5</v>
      </c>
      <c r="S54" s="25" t="n">
        <v>1.97</v>
      </c>
    </row>
    <row r="55">
      <c r="A55" s="24" t="n">
        <v>45992</v>
      </c>
      <c r="B55" s="10" t="inlineStr">
        <is>
          <t>2025-12</t>
        </is>
      </c>
      <c r="C55" s="11" t="n">
        <v>12</v>
      </c>
      <c r="D55" s="10" t="inlineStr">
        <is>
          <t>Mùa khô</t>
        </is>
      </c>
      <c r="E55" s="12" t="n">
        <v>34.2</v>
      </c>
      <c r="F55" s="12" t="n">
        <v>24.2</v>
      </c>
      <c r="G55" s="12" t="n">
        <v>29.2</v>
      </c>
      <c r="H55" s="16" t="n">
        <v>26.57</v>
      </c>
      <c r="I55" s="12" t="n">
        <v>30.97</v>
      </c>
      <c r="J55" s="12" t="n">
        <v>27.47</v>
      </c>
      <c r="K55" s="12" t="n">
        <v>3.51</v>
      </c>
      <c r="L55" s="12" t="n">
        <v>10</v>
      </c>
      <c r="M55" s="11" t="n">
        <v>64</v>
      </c>
      <c r="N55" s="12" t="n">
        <v>0.1</v>
      </c>
      <c r="O55" s="11" t="n">
        <v>0</v>
      </c>
      <c r="P55" s="11" t="n">
        <v>1</v>
      </c>
      <c r="Q55" s="11" t="n">
        <v>1</v>
      </c>
      <c r="R55" s="25" t="n">
        <v>1.2</v>
      </c>
      <c r="S55" s="25" t="n">
        <v>2.9</v>
      </c>
    </row>
    <row r="56">
      <c r="A56" s="24" t="n">
        <v>45993</v>
      </c>
      <c r="B56" s="10" t="inlineStr">
        <is>
          <t>2025-12</t>
        </is>
      </c>
      <c r="C56" s="11" t="n">
        <v>12</v>
      </c>
      <c r="D56" s="10" t="inlineStr">
        <is>
          <t>Mùa khô</t>
        </is>
      </c>
      <c r="E56" s="12" t="n">
        <v>33.4</v>
      </c>
      <c r="F56" s="12" t="n">
        <v>24.9</v>
      </c>
      <c r="G56" s="12" t="n">
        <v>28.2</v>
      </c>
      <c r="H56" s="16" t="n">
        <v>26.76</v>
      </c>
      <c r="I56" s="12" t="n">
        <v>30.16</v>
      </c>
      <c r="J56" s="12" t="n">
        <v>26.19</v>
      </c>
      <c r="K56" s="12" t="n">
        <v>3.97</v>
      </c>
      <c r="L56" s="12" t="n">
        <v>8.5</v>
      </c>
      <c r="M56" s="11" t="n">
        <v>75</v>
      </c>
      <c r="N56" s="12" t="n">
        <v>5.3</v>
      </c>
      <c r="O56" s="11" t="n">
        <v>1</v>
      </c>
      <c r="P56" s="11" t="n">
        <v>1</v>
      </c>
      <c r="Q56" s="11" t="n">
        <v>0</v>
      </c>
      <c r="R56" s="25" t="n">
        <v>-0.8</v>
      </c>
      <c r="S56" s="25" t="n">
        <v>1.77</v>
      </c>
    </row>
    <row r="57">
      <c r="A57" s="24" t="n">
        <v>45994</v>
      </c>
      <c r="B57" s="10" t="inlineStr">
        <is>
          <t>2025-12</t>
        </is>
      </c>
      <c r="C57" s="11" t="n">
        <v>12</v>
      </c>
      <c r="D57" s="10" t="inlineStr">
        <is>
          <t>Mùa khô</t>
        </is>
      </c>
      <c r="E57" s="12" t="n">
        <v>31.4</v>
      </c>
      <c r="F57" s="12" t="n">
        <v>23.9</v>
      </c>
      <c r="G57" s="12" t="n">
        <v>26.2</v>
      </c>
      <c r="H57" s="16" t="n">
        <v>26.8</v>
      </c>
      <c r="I57" s="12" t="n">
        <v>28.03</v>
      </c>
      <c r="J57" s="12" t="n">
        <v>24.49</v>
      </c>
      <c r="K57" s="12" t="n">
        <v>3.54</v>
      </c>
      <c r="L57" s="12" t="n">
        <v>7.5</v>
      </c>
      <c r="M57" s="11" t="n">
        <v>86</v>
      </c>
      <c r="N57" s="12" t="n">
        <v>29.1</v>
      </c>
      <c r="O57" s="11" t="n">
        <v>1</v>
      </c>
      <c r="P57" s="11" t="n">
        <v>1</v>
      </c>
      <c r="Q57" s="11" t="n">
        <v>0</v>
      </c>
      <c r="R57" s="25" t="n">
        <v>-2</v>
      </c>
      <c r="S57" s="25" t="n">
        <v>-0.47</v>
      </c>
    </row>
    <row r="58">
      <c r="A58" s="24" t="n">
        <v>45995</v>
      </c>
      <c r="B58" s="10" t="inlineStr">
        <is>
          <t>2025-12</t>
        </is>
      </c>
      <c r="C58" s="11" t="n">
        <v>12</v>
      </c>
      <c r="D58" s="10" t="inlineStr">
        <is>
          <t>Mùa khô</t>
        </is>
      </c>
      <c r="E58" s="12" t="n">
        <v>29.9</v>
      </c>
      <c r="F58" s="12" t="n">
        <v>23.5</v>
      </c>
      <c r="G58" s="12" t="n">
        <v>26.4</v>
      </c>
      <c r="H58" s="16" t="n">
        <v>26.91</v>
      </c>
      <c r="I58" s="12" t="n">
        <v>27.41</v>
      </c>
      <c r="J58" s="12" t="n">
        <v>25.33</v>
      </c>
      <c r="K58" s="12" t="n">
        <v>2.07</v>
      </c>
      <c r="L58" s="12" t="n">
        <v>6.4</v>
      </c>
      <c r="M58" s="11" t="n">
        <v>84</v>
      </c>
      <c r="N58" s="12" t="n">
        <v>9.300000000000001</v>
      </c>
      <c r="O58" s="11" t="n">
        <v>1</v>
      </c>
      <c r="P58" s="11" t="n">
        <v>0</v>
      </c>
      <c r="Q58" s="11" t="n">
        <v>0</v>
      </c>
      <c r="R58" s="25" t="n">
        <v>-1.5</v>
      </c>
      <c r="S58" s="25" t="n">
        <v>-2.01</v>
      </c>
    </row>
    <row r="59">
      <c r="A59" s="24" t="n">
        <v>45996</v>
      </c>
      <c r="B59" s="10" t="inlineStr">
        <is>
          <t>2025-12</t>
        </is>
      </c>
      <c r="C59" s="11" t="n">
        <v>12</v>
      </c>
      <c r="D59" s="10" t="inlineStr">
        <is>
          <t>Mùa khô</t>
        </is>
      </c>
      <c r="E59" s="12" t="n">
        <v>31.1</v>
      </c>
      <c r="F59" s="12" t="n">
        <v>23.6</v>
      </c>
      <c r="G59" s="12" t="n">
        <v>26.9</v>
      </c>
      <c r="H59" s="16" t="n">
        <v>27.26</v>
      </c>
      <c r="I59" s="12" t="n">
        <v>28.64</v>
      </c>
      <c r="J59" s="12" t="n">
        <v>25.3</v>
      </c>
      <c r="K59" s="12" t="n">
        <v>3.34</v>
      </c>
      <c r="L59" s="12" t="n">
        <v>7.5</v>
      </c>
      <c r="M59" s="11" t="n">
        <v>83</v>
      </c>
      <c r="N59" s="12" t="n">
        <v>0.8</v>
      </c>
      <c r="O59" s="11" t="n">
        <v>0</v>
      </c>
      <c r="P59" s="11" t="n">
        <v>0</v>
      </c>
      <c r="Q59" s="11" t="n">
        <v>0</v>
      </c>
      <c r="R59" s="25" t="n">
        <v>1.2</v>
      </c>
      <c r="S59" s="25" t="n">
        <v>-0.71</v>
      </c>
    </row>
    <row r="60">
      <c r="A60" s="24" t="n">
        <v>45997</v>
      </c>
      <c r="B60" s="10" t="inlineStr">
        <is>
          <t>2025-12</t>
        </is>
      </c>
      <c r="C60" s="11" t="n">
        <v>12</v>
      </c>
      <c r="D60" s="10" t="inlineStr">
        <is>
          <t>Mùa khô</t>
        </is>
      </c>
      <c r="E60" s="12" t="n">
        <v>30.8</v>
      </c>
      <c r="F60" s="12" t="n">
        <v>21.9</v>
      </c>
      <c r="G60" s="12" t="n">
        <v>26.2</v>
      </c>
      <c r="H60" s="16" t="n">
        <v>27.29</v>
      </c>
      <c r="I60" s="12" t="n">
        <v>27.88</v>
      </c>
      <c r="J60" s="12" t="n">
        <v>24.51</v>
      </c>
      <c r="K60" s="12" t="n">
        <v>3.38</v>
      </c>
      <c r="L60" s="12" t="n">
        <v>8.9</v>
      </c>
      <c r="M60" s="11" t="n">
        <v>79</v>
      </c>
      <c r="N60" s="12" t="n">
        <v>0.3</v>
      </c>
      <c r="O60" s="11" t="n">
        <v>0</v>
      </c>
      <c r="P60" s="11" t="n">
        <v>0</v>
      </c>
      <c r="Q60" s="11" t="n">
        <v>0</v>
      </c>
      <c r="R60" s="25" t="n">
        <v>-0.3</v>
      </c>
      <c r="S60" s="25" t="n">
        <v>-1.27</v>
      </c>
    </row>
    <row r="61">
      <c r="A61" s="24" t="n">
        <v>45998</v>
      </c>
      <c r="B61" s="10" t="inlineStr">
        <is>
          <t>2025-12</t>
        </is>
      </c>
      <c r="C61" s="11" t="n">
        <v>12</v>
      </c>
      <c r="D61" s="10" t="inlineStr">
        <is>
          <t>Mùa khô</t>
        </is>
      </c>
      <c r="E61" s="12" t="n">
        <v>31.1</v>
      </c>
      <c r="F61" s="12" t="n">
        <v>21.1</v>
      </c>
      <c r="G61" s="12" t="n">
        <v>26</v>
      </c>
      <c r="H61" s="16" t="n">
        <v>27.01</v>
      </c>
      <c r="I61" s="12" t="n">
        <v>27.77</v>
      </c>
      <c r="J61" s="12" t="n">
        <v>24.38</v>
      </c>
      <c r="K61" s="12" t="n">
        <v>3.38</v>
      </c>
      <c r="L61" s="12" t="n">
        <v>10</v>
      </c>
      <c r="M61" s="11" t="n">
        <v>76</v>
      </c>
      <c r="N61" s="12" t="n">
        <v>0.4</v>
      </c>
      <c r="O61" s="11" t="n">
        <v>0</v>
      </c>
      <c r="P61" s="11" t="n">
        <v>0</v>
      </c>
      <c r="Q61" s="11" t="n">
        <v>0</v>
      </c>
      <c r="R61" s="25" t="n">
        <v>0.3</v>
      </c>
      <c r="S61" s="25" t="n">
        <v>-0.87</v>
      </c>
    </row>
    <row r="62">
      <c r="A62" s="24" t="n">
        <v>45999</v>
      </c>
      <c r="B62" s="10" t="inlineStr">
        <is>
          <t>2025-12</t>
        </is>
      </c>
      <c r="C62" s="11" t="n">
        <v>12</v>
      </c>
      <c r="D62" s="10" t="inlineStr">
        <is>
          <t>Mùa khô</t>
        </is>
      </c>
      <c r="E62" s="12" t="n">
        <v>30.6</v>
      </c>
      <c r="F62" s="12" t="n">
        <v>20.2</v>
      </c>
      <c r="G62" s="12" t="n">
        <v>25.5</v>
      </c>
      <c r="H62" s="16" t="n">
        <v>26.49</v>
      </c>
      <c r="I62" s="12" t="n">
        <v>27.15</v>
      </c>
      <c r="J62" s="12" t="n">
        <v>23.99</v>
      </c>
      <c r="K62" s="12" t="n">
        <v>3.16</v>
      </c>
      <c r="L62" s="12" t="n">
        <v>10.4</v>
      </c>
      <c r="M62" s="11" t="n">
        <v>64</v>
      </c>
      <c r="N62" s="12" t="n">
        <v>0</v>
      </c>
      <c r="O62" s="11" t="n">
        <v>0</v>
      </c>
      <c r="P62" s="11" t="n">
        <v>0</v>
      </c>
      <c r="Q62" s="11" t="n">
        <v>0</v>
      </c>
      <c r="R62" s="25" t="n">
        <v>-0.5</v>
      </c>
      <c r="S62" s="25" t="n">
        <v>-1.1</v>
      </c>
    </row>
    <row r="63">
      <c r="A63" s="24" t="n">
        <v>46000</v>
      </c>
      <c r="B63" s="10" t="inlineStr">
        <is>
          <t>2025-12</t>
        </is>
      </c>
      <c r="C63" s="11" t="n">
        <v>12</v>
      </c>
      <c r="D63" s="10" t="inlineStr">
        <is>
          <t>Mùa khô</t>
        </is>
      </c>
      <c r="E63" s="12" t="n">
        <v>31.6</v>
      </c>
      <c r="F63" s="12" t="n">
        <v>21.7</v>
      </c>
      <c r="G63" s="12" t="n">
        <v>26.8</v>
      </c>
      <c r="H63" s="16" t="n">
        <v>26.29</v>
      </c>
      <c r="I63" s="12" t="n">
        <v>28.54</v>
      </c>
      <c r="J63" s="12" t="n">
        <v>25.18</v>
      </c>
      <c r="K63" s="12" t="n">
        <v>3.37</v>
      </c>
      <c r="L63" s="12" t="n">
        <v>9.9</v>
      </c>
      <c r="M63" s="11" t="n">
        <v>64</v>
      </c>
      <c r="N63" s="12" t="n">
        <v>0.1</v>
      </c>
      <c r="O63" s="11" t="n">
        <v>0</v>
      </c>
      <c r="P63" s="11" t="n">
        <v>1</v>
      </c>
      <c r="Q63" s="11" t="n">
        <v>0</v>
      </c>
      <c r="R63" s="25" t="n">
        <v>1</v>
      </c>
      <c r="S63" s="25" t="n">
        <v>0.41</v>
      </c>
    </row>
    <row r="64">
      <c r="A64" s="24" t="n">
        <v>46001</v>
      </c>
      <c r="B64" s="10" t="inlineStr">
        <is>
          <t>2025-12</t>
        </is>
      </c>
      <c r="C64" s="11" t="n">
        <v>12</v>
      </c>
      <c r="D64" s="10" t="inlineStr">
        <is>
          <t>Mùa khô</t>
        </is>
      </c>
      <c r="E64" s="12" t="n">
        <v>31</v>
      </c>
      <c r="F64" s="12" t="n">
        <v>24</v>
      </c>
      <c r="G64" s="12" t="n">
        <v>26.1</v>
      </c>
      <c r="H64" s="16" t="n">
        <v>26.27</v>
      </c>
      <c r="I64" s="12" t="n">
        <v>27.56</v>
      </c>
      <c r="J64" s="12" t="n">
        <v>24.61</v>
      </c>
      <c r="K64" s="12" t="n">
        <v>2.95</v>
      </c>
      <c r="L64" s="12" t="n">
        <v>7</v>
      </c>
      <c r="M64" s="11" t="n">
        <v>76</v>
      </c>
      <c r="N64" s="12" t="n">
        <v>13.1</v>
      </c>
      <c r="O64" s="11" t="n">
        <v>1</v>
      </c>
      <c r="P64" s="11" t="n">
        <v>1</v>
      </c>
      <c r="Q64" s="11" t="n">
        <v>0</v>
      </c>
      <c r="R64" s="25" t="n">
        <v>-0.6</v>
      </c>
      <c r="S64" s="25" t="n">
        <v>0.07000000000000001</v>
      </c>
    </row>
    <row r="65">
      <c r="A65" s="24" t="n">
        <v>46002</v>
      </c>
      <c r="B65" s="10" t="inlineStr">
        <is>
          <t>2025-12</t>
        </is>
      </c>
      <c r="C65" s="11" t="n">
        <v>12</v>
      </c>
      <c r="D65" s="10" t="inlineStr">
        <is>
          <t>Mùa khô</t>
        </is>
      </c>
      <c r="E65" s="12" t="n">
        <v>31.2</v>
      </c>
      <c r="F65" s="12" t="n">
        <v>23.1</v>
      </c>
      <c r="G65" s="12" t="n">
        <v>26.4</v>
      </c>
      <c r="H65" s="16" t="n">
        <v>26.27</v>
      </c>
      <c r="I65" s="12" t="n">
        <v>27.81</v>
      </c>
      <c r="J65" s="12" t="n">
        <v>25</v>
      </c>
      <c r="K65" s="12" t="n">
        <v>2.81</v>
      </c>
      <c r="L65" s="12" t="n">
        <v>8.1</v>
      </c>
      <c r="M65" s="11" t="n">
        <v>82</v>
      </c>
      <c r="N65" s="12" t="n">
        <v>8</v>
      </c>
      <c r="O65" s="11" t="n">
        <v>1</v>
      </c>
      <c r="P65" s="11" t="n">
        <v>0</v>
      </c>
      <c r="Q65" s="11" t="n">
        <v>0</v>
      </c>
      <c r="R65" s="25" t="n">
        <v>0.2</v>
      </c>
      <c r="S65" s="25" t="n">
        <v>0.33</v>
      </c>
    </row>
    <row r="66">
      <c r="A66" s="24" t="n">
        <v>46003</v>
      </c>
      <c r="B66" s="10" t="inlineStr">
        <is>
          <t>2025-12</t>
        </is>
      </c>
      <c r="C66" s="11" t="n">
        <v>12</v>
      </c>
      <c r="D66" s="10" t="inlineStr">
        <is>
          <t>Mùa khô</t>
        </is>
      </c>
      <c r="E66" s="12" t="n">
        <v>31.6</v>
      </c>
      <c r="F66" s="12" t="n">
        <v>23.4</v>
      </c>
      <c r="G66" s="12" t="n">
        <v>27.4</v>
      </c>
      <c r="H66" s="16" t="n">
        <v>26.34</v>
      </c>
      <c r="I66" s="12" t="n">
        <v>28.98</v>
      </c>
      <c r="J66" s="12" t="n">
        <v>25.78</v>
      </c>
      <c r="K66" s="12" t="n">
        <v>3.2</v>
      </c>
      <c r="L66" s="12" t="n">
        <v>8.199999999999999</v>
      </c>
      <c r="M66" s="11" t="n">
        <v>76</v>
      </c>
      <c r="N66" s="12" t="n">
        <v>0</v>
      </c>
      <c r="O66" s="11" t="n">
        <v>0</v>
      </c>
      <c r="P66" s="11" t="n">
        <v>1</v>
      </c>
      <c r="Q66" s="11" t="n">
        <v>0</v>
      </c>
      <c r="R66" s="25" t="n">
        <v>0.4</v>
      </c>
      <c r="S66" s="25" t="n">
        <v>0.54</v>
      </c>
    </row>
    <row r="67">
      <c r="A67" s="24" t="n">
        <v>46004</v>
      </c>
      <c r="B67" s="10" t="inlineStr">
        <is>
          <t>2025-12</t>
        </is>
      </c>
      <c r="C67" s="11" t="n">
        <v>12</v>
      </c>
      <c r="D67" s="10" t="inlineStr">
        <is>
          <t>Mùa khô</t>
        </is>
      </c>
      <c r="E67" s="12" t="n">
        <v>32</v>
      </c>
      <c r="F67" s="12" t="n">
        <v>23.7</v>
      </c>
      <c r="G67" s="12" t="n">
        <v>27.1</v>
      </c>
      <c r="H67" s="16" t="n">
        <v>26.47</v>
      </c>
      <c r="I67" s="12" t="n">
        <v>29.03</v>
      </c>
      <c r="J67" s="12" t="n">
        <v>25.15</v>
      </c>
      <c r="K67" s="12" t="n">
        <v>3.88</v>
      </c>
      <c r="L67" s="12" t="n">
        <v>8.300000000000001</v>
      </c>
      <c r="M67" s="11" t="n">
        <v>83</v>
      </c>
      <c r="N67" s="12" t="n">
        <v>15.9</v>
      </c>
      <c r="O67" s="11" t="n">
        <v>1</v>
      </c>
      <c r="P67" s="11" t="n">
        <v>0</v>
      </c>
      <c r="Q67" s="11" t="n">
        <v>0</v>
      </c>
      <c r="R67" s="25" t="n">
        <v>0.4</v>
      </c>
      <c r="S67" s="25" t="n">
        <v>0.87</v>
      </c>
    </row>
    <row r="68">
      <c r="A68" s="24" t="n">
        <v>46005</v>
      </c>
      <c r="B68" s="10" t="inlineStr">
        <is>
          <t>2025-12</t>
        </is>
      </c>
      <c r="C68" s="11" t="n">
        <v>12</v>
      </c>
      <c r="D68" s="10" t="inlineStr">
        <is>
          <t>Mùa khô</t>
        </is>
      </c>
      <c r="E68" s="12" t="n">
        <v>31.7</v>
      </c>
      <c r="F68" s="12" t="n">
        <v>23.6</v>
      </c>
      <c r="G68" s="12" t="n">
        <v>27.4</v>
      </c>
      <c r="H68" s="16" t="n">
        <v>26.67</v>
      </c>
      <c r="I68" s="12" t="n">
        <v>29.25</v>
      </c>
      <c r="J68" s="12" t="n">
        <v>25.57</v>
      </c>
      <c r="K68" s="12" t="n">
        <v>3.68</v>
      </c>
      <c r="L68" s="12" t="n">
        <v>8.1</v>
      </c>
      <c r="M68" s="11" t="n">
        <v>78</v>
      </c>
      <c r="N68" s="12" t="n">
        <v>0.1</v>
      </c>
      <c r="O68" s="11" t="n">
        <v>0</v>
      </c>
      <c r="P68" s="11" t="n">
        <v>0</v>
      </c>
      <c r="Q68" s="11" t="n">
        <v>0</v>
      </c>
      <c r="R68" s="25" t="n">
        <v>-0.3</v>
      </c>
      <c r="S68" s="25" t="n">
        <v>0.4</v>
      </c>
    </row>
    <row r="69">
      <c r="A69" s="24" t="n">
        <v>46006</v>
      </c>
      <c r="B69" s="10" t="inlineStr">
        <is>
          <t>2025-12</t>
        </is>
      </c>
      <c r="C69" s="11" t="n">
        <v>12</v>
      </c>
      <c r="D69" s="10" t="inlineStr">
        <is>
          <t>Mùa khô</t>
        </is>
      </c>
      <c r="E69" s="12" t="n">
        <v>33.1</v>
      </c>
      <c r="F69" s="12" t="n">
        <v>23.7</v>
      </c>
      <c r="G69" s="12" t="n">
        <v>27.9</v>
      </c>
      <c r="H69" s="16" t="n">
        <v>27.01</v>
      </c>
      <c r="I69" s="12" t="n">
        <v>29.73</v>
      </c>
      <c r="J69" s="12" t="n">
        <v>26.11</v>
      </c>
      <c r="K69" s="12" t="n">
        <v>3.63</v>
      </c>
      <c r="L69" s="12" t="n">
        <v>9.4</v>
      </c>
      <c r="M69" s="11" t="n">
        <v>72</v>
      </c>
      <c r="N69" s="12" t="n">
        <v>0</v>
      </c>
      <c r="O69" s="11" t="n">
        <v>0</v>
      </c>
      <c r="P69" s="11" t="n">
        <v>0</v>
      </c>
      <c r="Q69" s="11" t="n">
        <v>0</v>
      </c>
      <c r="R69" s="25" t="n">
        <v>1.4</v>
      </c>
      <c r="S69" s="25" t="n">
        <v>1.71</v>
      </c>
    </row>
    <row r="70">
      <c r="A70" s="24" t="n">
        <v>46007</v>
      </c>
      <c r="B70" s="10" t="inlineStr">
        <is>
          <t>2025-12</t>
        </is>
      </c>
      <c r="C70" s="11" t="n">
        <v>12</v>
      </c>
      <c r="D70" s="10" t="inlineStr">
        <is>
          <t>Mùa khô</t>
        </is>
      </c>
      <c r="E70" s="12" t="n">
        <v>34</v>
      </c>
      <c r="F70" s="12" t="n">
        <v>23.9</v>
      </c>
      <c r="G70" s="12" t="n">
        <v>28</v>
      </c>
      <c r="H70" s="16" t="n">
        <v>27.19</v>
      </c>
      <c r="I70" s="12" t="n">
        <v>30.17</v>
      </c>
      <c r="J70" s="12" t="n">
        <v>25.87</v>
      </c>
      <c r="K70" s="12" t="n">
        <v>4.3</v>
      </c>
      <c r="L70" s="12" t="n">
        <v>10.1</v>
      </c>
      <c r="M70" s="11" t="n">
        <v>72</v>
      </c>
      <c r="N70" s="12" t="n">
        <v>0.3</v>
      </c>
      <c r="O70" s="11" t="n">
        <v>0</v>
      </c>
      <c r="P70" s="11" t="n">
        <v>0</v>
      </c>
      <c r="Q70" s="11" t="n">
        <v>1</v>
      </c>
      <c r="R70" s="25" t="n">
        <v>0.9</v>
      </c>
      <c r="S70" s="25" t="n">
        <v>2.26</v>
      </c>
    </row>
    <row r="71">
      <c r="A71" s="24" t="n">
        <v>46008</v>
      </c>
      <c r="B71" s="10" t="inlineStr">
        <is>
          <t>2025-12</t>
        </is>
      </c>
      <c r="C71" s="11" t="n">
        <v>12</v>
      </c>
      <c r="D71" s="10" t="inlineStr">
        <is>
          <t>Mùa khô</t>
        </is>
      </c>
      <c r="E71" s="12" t="n">
        <v>33.7</v>
      </c>
      <c r="F71" s="12" t="n">
        <v>23.5</v>
      </c>
      <c r="G71" s="12" t="n">
        <v>27.9</v>
      </c>
      <c r="H71" s="16" t="n">
        <v>27.44</v>
      </c>
      <c r="I71" s="12" t="n">
        <v>29.89</v>
      </c>
      <c r="J71" s="12" t="n">
        <v>25.86</v>
      </c>
      <c r="K71" s="12" t="n">
        <v>4.03</v>
      </c>
      <c r="L71" s="12" t="n">
        <v>10.2</v>
      </c>
      <c r="M71" s="11" t="n">
        <v>74</v>
      </c>
      <c r="N71" s="12" t="n">
        <v>0.7</v>
      </c>
      <c r="O71" s="11" t="n">
        <v>0</v>
      </c>
      <c r="P71" s="11" t="n">
        <v>0</v>
      </c>
      <c r="Q71" s="11" t="n">
        <v>0</v>
      </c>
      <c r="R71" s="25" t="n">
        <v>-0.3</v>
      </c>
      <c r="S71" s="25" t="n">
        <v>1.61</v>
      </c>
    </row>
    <row r="72">
      <c r="A72" s="24" t="n">
        <v>46009</v>
      </c>
      <c r="B72" s="10" t="inlineStr">
        <is>
          <t>2025-12</t>
        </is>
      </c>
      <c r="C72" s="11" t="n">
        <v>12</v>
      </c>
      <c r="D72" s="10" t="inlineStr">
        <is>
          <t>Mùa khô</t>
        </is>
      </c>
      <c r="E72" s="12" t="n">
        <v>32.7</v>
      </c>
      <c r="F72" s="12" t="n">
        <v>23.5</v>
      </c>
      <c r="G72" s="12" t="n">
        <v>27.8</v>
      </c>
      <c r="H72" s="16" t="n">
        <v>27.64</v>
      </c>
      <c r="I72" s="12" t="n">
        <v>29.46</v>
      </c>
      <c r="J72" s="12" t="n">
        <v>26.21</v>
      </c>
      <c r="K72" s="12" t="n">
        <v>3.25</v>
      </c>
      <c r="L72" s="12" t="n">
        <v>9.199999999999999</v>
      </c>
      <c r="M72" s="11" t="n">
        <v>70</v>
      </c>
      <c r="N72" s="12" t="n">
        <v>0.5</v>
      </c>
      <c r="O72" s="11" t="n">
        <v>0</v>
      </c>
      <c r="P72" s="11" t="n">
        <v>0</v>
      </c>
      <c r="Q72" s="11" t="n">
        <v>0</v>
      </c>
      <c r="R72" s="25" t="n">
        <v>-1</v>
      </c>
      <c r="S72" s="25" t="n">
        <v>0.23</v>
      </c>
    </row>
    <row r="73">
      <c r="A73" s="24" t="n">
        <v>46010</v>
      </c>
      <c r="B73" s="10" t="inlineStr">
        <is>
          <t>2025-12</t>
        </is>
      </c>
      <c r="C73" s="11" t="n">
        <v>12</v>
      </c>
      <c r="D73" s="10" t="inlineStr">
        <is>
          <t>Mùa khô</t>
        </is>
      </c>
      <c r="E73" s="12" t="n">
        <v>33.7</v>
      </c>
      <c r="F73" s="12" t="n">
        <v>23.1</v>
      </c>
      <c r="G73" s="12" t="n">
        <v>28.1</v>
      </c>
      <c r="H73" s="16" t="n">
        <v>27.74</v>
      </c>
      <c r="I73" s="12" t="n">
        <v>30.22</v>
      </c>
      <c r="J73" s="12" t="n">
        <v>25.98</v>
      </c>
      <c r="K73" s="12" t="n">
        <v>4.24</v>
      </c>
      <c r="L73" s="12" t="n">
        <v>10.6</v>
      </c>
      <c r="M73" s="11" t="n">
        <v>69</v>
      </c>
      <c r="N73" s="12" t="n">
        <v>0.3</v>
      </c>
      <c r="O73" s="11" t="n">
        <v>0</v>
      </c>
      <c r="P73" s="11" t="n">
        <v>0</v>
      </c>
      <c r="Q73" s="11" t="n">
        <v>0</v>
      </c>
      <c r="R73" s="25" t="n">
        <v>1</v>
      </c>
      <c r="S73" s="25" t="n">
        <v>1.01</v>
      </c>
    </row>
    <row r="74">
      <c r="A74" s="24" t="n">
        <v>46011</v>
      </c>
      <c r="B74" s="10" t="inlineStr">
        <is>
          <t>2025-12</t>
        </is>
      </c>
      <c r="C74" s="11" t="n">
        <v>12</v>
      </c>
      <c r="D74" s="10" t="inlineStr">
        <is>
          <t>Mùa khô</t>
        </is>
      </c>
      <c r="E74" s="12" t="n">
        <v>33.4</v>
      </c>
      <c r="F74" s="12" t="n">
        <v>23.7</v>
      </c>
      <c r="G74" s="12" t="n">
        <v>28.2</v>
      </c>
      <c r="H74" s="16" t="n">
        <v>27.9</v>
      </c>
      <c r="I74" s="12" t="n">
        <v>30.08</v>
      </c>
      <c r="J74" s="12" t="n">
        <v>26.32</v>
      </c>
      <c r="K74" s="12" t="n">
        <v>3.76</v>
      </c>
      <c r="L74" s="12" t="n">
        <v>9.699999999999999</v>
      </c>
      <c r="M74" s="11" t="n">
        <v>74</v>
      </c>
      <c r="N74" s="12" t="n">
        <v>0.4</v>
      </c>
      <c r="O74" s="11" t="n">
        <v>0</v>
      </c>
      <c r="P74" s="11" t="n">
        <v>0</v>
      </c>
      <c r="Q74" s="11" t="n">
        <v>0</v>
      </c>
      <c r="R74" s="25" t="n">
        <v>-0.3</v>
      </c>
      <c r="S74" s="25" t="n">
        <v>0.41</v>
      </c>
    </row>
    <row r="75">
      <c r="A75" s="24" t="n">
        <v>46012</v>
      </c>
      <c r="B75" s="10" t="inlineStr">
        <is>
          <t>2025-12</t>
        </is>
      </c>
      <c r="C75" s="11" t="n">
        <v>12</v>
      </c>
      <c r="D75" s="10" t="inlineStr">
        <is>
          <t>Mùa khô</t>
        </is>
      </c>
      <c r="E75" s="12" t="n">
        <v>34.5</v>
      </c>
      <c r="F75" s="12" t="n">
        <v>23.8</v>
      </c>
      <c r="G75" s="12" t="n">
        <v>28.3</v>
      </c>
      <c r="H75" s="16" t="n">
        <v>28.03</v>
      </c>
      <c r="I75" s="12" t="n">
        <v>30.47</v>
      </c>
      <c r="J75" s="12" t="n">
        <v>26.21</v>
      </c>
      <c r="K75" s="12" t="n">
        <v>4.26</v>
      </c>
      <c r="L75" s="12" t="n">
        <v>10.7</v>
      </c>
      <c r="M75" s="11" t="n">
        <v>71</v>
      </c>
      <c r="N75" s="12" t="n">
        <v>0.2</v>
      </c>
      <c r="O75" s="11" t="n">
        <v>0</v>
      </c>
      <c r="P75" s="11" t="n">
        <v>1</v>
      </c>
      <c r="Q75" s="11" t="n">
        <v>0</v>
      </c>
      <c r="R75" s="25" t="n">
        <v>1.1</v>
      </c>
      <c r="S75" s="25" t="n">
        <v>1.31</v>
      </c>
    </row>
    <row r="76">
      <c r="A76" s="24" t="n">
        <v>46013</v>
      </c>
      <c r="B76" s="10" t="inlineStr">
        <is>
          <t>2025-12</t>
        </is>
      </c>
      <c r="C76" s="11" t="n">
        <v>12</v>
      </c>
      <c r="D76" s="10" t="inlineStr">
        <is>
          <t>Mùa khô</t>
        </is>
      </c>
      <c r="E76" s="12" t="n">
        <v>33.9</v>
      </c>
      <c r="F76" s="12" t="n">
        <v>24.3</v>
      </c>
      <c r="G76" s="12" t="n">
        <v>28.6</v>
      </c>
      <c r="H76" s="16" t="n">
        <v>28.13</v>
      </c>
      <c r="I76" s="12" t="n">
        <v>30.82</v>
      </c>
      <c r="J76" s="12" t="n">
        <v>26.38</v>
      </c>
      <c r="K76" s="12" t="n">
        <v>4.45</v>
      </c>
      <c r="L76" s="12" t="n">
        <v>9.6</v>
      </c>
      <c r="M76" s="11" t="n">
        <v>71</v>
      </c>
      <c r="N76" s="12" t="n">
        <v>1</v>
      </c>
      <c r="O76" s="11" t="n">
        <v>1</v>
      </c>
      <c r="P76" s="11" t="n">
        <v>0</v>
      </c>
      <c r="Q76" s="11" t="n">
        <v>0</v>
      </c>
      <c r="R76" s="25" t="n">
        <v>-0.6</v>
      </c>
      <c r="S76" s="25" t="n">
        <v>0.31</v>
      </c>
    </row>
    <row r="77">
      <c r="A77" s="24" t="n">
        <v>46014</v>
      </c>
      <c r="B77" s="10" t="inlineStr">
        <is>
          <t>2025-12</t>
        </is>
      </c>
      <c r="C77" s="11" t="n">
        <v>12</v>
      </c>
      <c r="D77" s="10" t="inlineStr">
        <is>
          <t>Mùa khô</t>
        </is>
      </c>
      <c r="E77" s="12" t="n">
        <v>33.3</v>
      </c>
      <c r="F77" s="12" t="n">
        <v>24.7</v>
      </c>
      <c r="G77" s="12" t="n">
        <v>28</v>
      </c>
      <c r="H77" s="16" t="n">
        <v>28.13</v>
      </c>
      <c r="I77" s="12" t="n">
        <v>29.83</v>
      </c>
      <c r="J77" s="12" t="n">
        <v>26.13</v>
      </c>
      <c r="K77" s="12" t="n">
        <v>3.7</v>
      </c>
      <c r="L77" s="12" t="n">
        <v>8.6</v>
      </c>
      <c r="M77" s="11" t="n">
        <v>74</v>
      </c>
      <c r="N77" s="12" t="n">
        <v>0.8</v>
      </c>
      <c r="O77" s="11" t="n">
        <v>0</v>
      </c>
      <c r="P77" s="11" t="n">
        <v>1</v>
      </c>
      <c r="Q77" s="11" t="n">
        <v>0</v>
      </c>
      <c r="R77" s="25" t="n">
        <v>-0.6</v>
      </c>
      <c r="S77" s="25" t="n">
        <v>-0.4</v>
      </c>
    </row>
    <row r="78">
      <c r="A78" s="24" t="n">
        <v>46015</v>
      </c>
      <c r="B78" s="10" t="inlineStr">
        <is>
          <t>2025-12</t>
        </is>
      </c>
      <c r="C78" s="11" t="n">
        <v>12</v>
      </c>
      <c r="D78" s="10" t="inlineStr">
        <is>
          <t>Mùa khô</t>
        </is>
      </c>
      <c r="E78" s="12" t="n">
        <v>33.4</v>
      </c>
      <c r="F78" s="12" t="n">
        <v>24.7</v>
      </c>
      <c r="G78" s="12" t="n">
        <v>27.9</v>
      </c>
      <c r="H78" s="16" t="n">
        <v>28.13</v>
      </c>
      <c r="I78" s="12" t="n">
        <v>29.6</v>
      </c>
      <c r="J78" s="12" t="n">
        <v>26.22</v>
      </c>
      <c r="K78" s="12" t="n">
        <v>3.38</v>
      </c>
      <c r="L78" s="12" t="n">
        <v>8.699999999999999</v>
      </c>
      <c r="M78" s="11" t="n">
        <v>76</v>
      </c>
      <c r="N78" s="12" t="n">
        <v>7.1</v>
      </c>
      <c r="O78" s="11" t="n">
        <v>1</v>
      </c>
      <c r="P78" s="11" t="n">
        <v>1</v>
      </c>
      <c r="Q78" s="11" t="n">
        <v>0</v>
      </c>
      <c r="R78" s="25" t="n">
        <v>0.1</v>
      </c>
      <c r="S78" s="25" t="n">
        <v>-0.2</v>
      </c>
    </row>
    <row r="79">
      <c r="A79" s="24" t="n">
        <v>46016</v>
      </c>
      <c r="B79" s="10" t="inlineStr">
        <is>
          <t>2025-12</t>
        </is>
      </c>
      <c r="C79" s="11" t="n">
        <v>12</v>
      </c>
      <c r="D79" s="10" t="inlineStr">
        <is>
          <t>Mùa khô</t>
        </is>
      </c>
      <c r="E79" s="12" t="n">
        <v>31.3</v>
      </c>
      <c r="F79" s="12" t="n">
        <v>24.3</v>
      </c>
      <c r="G79" s="12" t="n">
        <v>26.6</v>
      </c>
      <c r="H79" s="16" t="n">
        <v>27.96</v>
      </c>
      <c r="I79" s="12" t="n">
        <v>27.93</v>
      </c>
      <c r="J79" s="12" t="n">
        <v>25.22</v>
      </c>
      <c r="K79" s="12" t="n">
        <v>2.71</v>
      </c>
      <c r="L79" s="12" t="n">
        <v>7</v>
      </c>
      <c r="M79" s="11" t="n">
        <v>87</v>
      </c>
      <c r="N79" s="12" t="n">
        <v>26.7</v>
      </c>
      <c r="O79" s="11" t="n">
        <v>1</v>
      </c>
      <c r="P79" s="11" t="n">
        <v>1</v>
      </c>
      <c r="Q79" s="11" t="n">
        <v>0</v>
      </c>
      <c r="R79" s="25" t="n">
        <v>-2.1</v>
      </c>
      <c r="S79" s="25" t="n">
        <v>-2.26</v>
      </c>
    </row>
    <row r="80">
      <c r="A80" s="24" t="n">
        <v>46017</v>
      </c>
      <c r="B80" s="10" t="inlineStr">
        <is>
          <t>2025-12</t>
        </is>
      </c>
      <c r="C80" s="11" t="n">
        <v>12</v>
      </c>
      <c r="D80" s="10" t="inlineStr">
        <is>
          <t>Mùa khô</t>
        </is>
      </c>
      <c r="E80" s="12" t="n">
        <v>30.7</v>
      </c>
      <c r="F80" s="12" t="n">
        <v>23.3</v>
      </c>
      <c r="G80" s="12" t="n">
        <v>26.1</v>
      </c>
      <c r="H80" s="16" t="n">
        <v>27.67</v>
      </c>
      <c r="I80" s="12" t="n">
        <v>27.74</v>
      </c>
      <c r="J80" s="12" t="n">
        <v>24.56</v>
      </c>
      <c r="K80" s="12" t="n">
        <v>3.18</v>
      </c>
      <c r="L80" s="12" t="n">
        <v>7.4</v>
      </c>
      <c r="M80" s="11" t="n">
        <v>85</v>
      </c>
      <c r="N80" s="12" t="n">
        <v>1.6</v>
      </c>
      <c r="O80" s="11" t="n">
        <v>1</v>
      </c>
      <c r="P80" s="11" t="n">
        <v>0</v>
      </c>
      <c r="Q80" s="11" t="n">
        <v>0</v>
      </c>
      <c r="R80" s="25" t="n">
        <v>-0.6</v>
      </c>
      <c r="S80" s="25" t="n">
        <v>-2.66</v>
      </c>
    </row>
    <row r="81">
      <c r="A81" s="24" t="n">
        <v>46018</v>
      </c>
      <c r="B81" s="10" t="inlineStr">
        <is>
          <t>2025-12</t>
        </is>
      </c>
      <c r="C81" s="11" t="n">
        <v>12</v>
      </c>
      <c r="D81" s="10" t="inlineStr">
        <is>
          <t>Mùa khô</t>
        </is>
      </c>
      <c r="E81" s="12" t="n">
        <v>30.3</v>
      </c>
      <c r="F81" s="12" t="n">
        <v>22.3</v>
      </c>
      <c r="G81" s="12" t="n">
        <v>25.6</v>
      </c>
      <c r="H81" s="16" t="n">
        <v>27.3</v>
      </c>
      <c r="I81" s="12" t="n">
        <v>27.08</v>
      </c>
      <c r="J81" s="12" t="n">
        <v>24.18</v>
      </c>
      <c r="K81" s="12" t="n">
        <v>2.91</v>
      </c>
      <c r="L81" s="12" t="n">
        <v>8</v>
      </c>
      <c r="M81" s="11" t="n">
        <v>82</v>
      </c>
      <c r="N81" s="12" t="n">
        <v>0.7</v>
      </c>
      <c r="O81" s="11" t="n">
        <v>0</v>
      </c>
      <c r="P81" s="11" t="n">
        <v>0</v>
      </c>
      <c r="Q81" s="11" t="n">
        <v>0</v>
      </c>
      <c r="R81" s="25" t="n">
        <v>-0.4</v>
      </c>
      <c r="S81" s="25" t="n">
        <v>-2.63</v>
      </c>
    </row>
    <row r="82">
      <c r="A82" s="24" t="n">
        <v>46019</v>
      </c>
      <c r="B82" s="10" t="inlineStr">
        <is>
          <t>2025-12</t>
        </is>
      </c>
      <c r="C82" s="11" t="n">
        <v>12</v>
      </c>
      <c r="D82" s="10" t="inlineStr">
        <is>
          <t>Mùa khô</t>
        </is>
      </c>
      <c r="E82" s="12" t="n">
        <v>31</v>
      </c>
      <c r="F82" s="12" t="n">
        <v>22.3</v>
      </c>
      <c r="G82" s="12" t="n">
        <v>26.1</v>
      </c>
      <c r="H82" s="16" t="n">
        <v>26.99</v>
      </c>
      <c r="I82" s="12" t="n">
        <v>27.68</v>
      </c>
      <c r="J82" s="12" t="n">
        <v>24.48</v>
      </c>
      <c r="K82" s="12" t="n">
        <v>3.19</v>
      </c>
      <c r="L82" s="12" t="n">
        <v>8.699999999999999</v>
      </c>
      <c r="M82" s="11" t="n">
        <v>80</v>
      </c>
      <c r="N82" s="12" t="n">
        <v>0</v>
      </c>
      <c r="O82" s="11" t="n">
        <v>0</v>
      </c>
      <c r="P82" s="11" t="n">
        <v>0</v>
      </c>
      <c r="Q82" s="11" t="n">
        <v>0</v>
      </c>
      <c r="R82" s="25" t="n">
        <v>0.7</v>
      </c>
      <c r="S82" s="25" t="n">
        <v>-1.49</v>
      </c>
    </row>
    <row r="83">
      <c r="A83" s="24" t="n">
        <v>46020</v>
      </c>
      <c r="B83" s="10" t="inlineStr">
        <is>
          <t>2025-12</t>
        </is>
      </c>
      <c r="C83" s="11" t="n">
        <v>12</v>
      </c>
      <c r="D83" s="10" t="inlineStr">
        <is>
          <t>Mùa khô</t>
        </is>
      </c>
      <c r="E83" s="12" t="n">
        <v>31.2</v>
      </c>
      <c r="F83" s="12" t="n">
        <v>22.8</v>
      </c>
      <c r="G83" s="12" t="n">
        <v>26.1</v>
      </c>
      <c r="H83" s="16" t="n">
        <v>26.63</v>
      </c>
      <c r="I83" s="12" t="n">
        <v>27.96</v>
      </c>
      <c r="J83" s="12" t="n">
        <v>24.23</v>
      </c>
      <c r="K83" s="12" t="n">
        <v>3.72</v>
      </c>
      <c r="L83" s="12" t="n">
        <v>8.4</v>
      </c>
      <c r="M83" s="11" t="n">
        <v>78</v>
      </c>
      <c r="N83" s="12" t="n">
        <v>0</v>
      </c>
      <c r="O83" s="11" t="n">
        <v>0</v>
      </c>
      <c r="P83" s="11" t="n">
        <v>0</v>
      </c>
      <c r="Q83" s="11" t="n">
        <v>0</v>
      </c>
      <c r="R83" s="25" t="n">
        <v>0.2</v>
      </c>
      <c r="S83" s="25" t="n">
        <v>-0.79</v>
      </c>
    </row>
    <row r="84">
      <c r="A84" s="24" t="n">
        <v>46021</v>
      </c>
      <c r="B84" s="10" t="inlineStr">
        <is>
          <t>2025-12</t>
        </is>
      </c>
      <c r="C84" s="11" t="n">
        <v>12</v>
      </c>
      <c r="D84" s="10" t="inlineStr">
        <is>
          <t>Mùa khô</t>
        </is>
      </c>
      <c r="E84" s="12" t="n">
        <v>30.5</v>
      </c>
      <c r="F84" s="12" t="n">
        <v>21.6</v>
      </c>
      <c r="G84" s="12" t="n">
        <v>25.4</v>
      </c>
      <c r="H84" s="16" t="n">
        <v>26.26</v>
      </c>
      <c r="I84" s="12" t="n">
        <v>27.32</v>
      </c>
      <c r="J84" s="12" t="n">
        <v>23.6</v>
      </c>
      <c r="K84" s="12" t="n">
        <v>3.72</v>
      </c>
      <c r="L84" s="12" t="n">
        <v>8.9</v>
      </c>
      <c r="M84" s="11" t="n">
        <v>75</v>
      </c>
      <c r="N84" s="12" t="n">
        <v>0</v>
      </c>
      <c r="O84" s="11" t="n">
        <v>0</v>
      </c>
      <c r="P84" s="11" t="n">
        <v>0</v>
      </c>
      <c r="Q84" s="11" t="n">
        <v>0</v>
      </c>
      <c r="R84" s="25" t="n">
        <v>-0.7</v>
      </c>
      <c r="S84" s="25" t="n">
        <v>-1.1</v>
      </c>
    </row>
    <row r="85">
      <c r="A85" s="24" t="n">
        <v>46022</v>
      </c>
      <c r="B85" s="10" t="inlineStr">
        <is>
          <t>2025-12</t>
        </is>
      </c>
      <c r="C85" s="11" t="n">
        <v>12</v>
      </c>
      <c r="D85" s="10" t="inlineStr">
        <is>
          <t>Mùa khô</t>
        </is>
      </c>
      <c r="E85" s="12" t="n">
        <v>31.2</v>
      </c>
      <c r="F85" s="12" t="n">
        <v>21</v>
      </c>
      <c r="G85" s="12" t="n">
        <v>25.5</v>
      </c>
      <c r="H85" s="16" t="n">
        <v>25.91</v>
      </c>
      <c r="I85" s="12" t="n">
        <v>27.66</v>
      </c>
      <c r="J85" s="12" t="n">
        <v>23.43</v>
      </c>
      <c r="K85" s="12" t="n">
        <v>4.23</v>
      </c>
      <c r="L85" s="12" t="n">
        <v>10.2</v>
      </c>
      <c r="M85" s="11" t="n">
        <v>74</v>
      </c>
      <c r="N85" s="12" t="n">
        <v>0</v>
      </c>
      <c r="O85" s="11" t="n">
        <v>0</v>
      </c>
      <c r="P85" s="11" t="n">
        <v>0</v>
      </c>
      <c r="Q85" s="11" t="n">
        <v>0</v>
      </c>
      <c r="R85" s="25" t="n">
        <v>0.7</v>
      </c>
      <c r="S85" s="25" t="n">
        <v>0</v>
      </c>
    </row>
    <row r="86">
      <c r="A86" s="24" t="n">
        <v>46023</v>
      </c>
      <c r="B86" s="10" t="inlineStr">
        <is>
          <t>2026-01</t>
        </is>
      </c>
      <c r="C86" s="11" t="n">
        <v>1</v>
      </c>
      <c r="D86" s="10" t="inlineStr">
        <is>
          <t>Mùa khô</t>
        </is>
      </c>
      <c r="E86" s="12" t="n">
        <v>31.2</v>
      </c>
      <c r="F86" s="12" t="n">
        <v>21.1</v>
      </c>
      <c r="G86" s="12" t="n">
        <v>25.6</v>
      </c>
      <c r="H86" s="16" t="n">
        <v>25.77</v>
      </c>
      <c r="I86" s="12" t="n">
        <v>27.61</v>
      </c>
      <c r="J86" s="12" t="n">
        <v>23.61</v>
      </c>
      <c r="K86" s="12" t="n">
        <v>4</v>
      </c>
      <c r="L86" s="12" t="n">
        <v>10.1</v>
      </c>
      <c r="M86" s="11" t="n">
        <v>69</v>
      </c>
      <c r="N86" s="12" t="n">
        <v>0</v>
      </c>
      <c r="O86" s="11" t="n">
        <v>0</v>
      </c>
      <c r="P86" s="11" t="n">
        <v>0</v>
      </c>
      <c r="Q86" s="11" t="n">
        <v>0</v>
      </c>
      <c r="R86" s="25" t="n">
        <v>0</v>
      </c>
      <c r="S86" s="25" t="n">
        <v>0.31</v>
      </c>
    </row>
    <row r="87">
      <c r="A87" s="24" t="n">
        <v>46024</v>
      </c>
      <c r="B87" s="10" t="inlineStr">
        <is>
          <t>2026-01</t>
        </is>
      </c>
      <c r="C87" s="11" t="n">
        <v>1</v>
      </c>
      <c r="D87" s="10" t="inlineStr">
        <is>
          <t>Mùa khô</t>
        </is>
      </c>
      <c r="E87" s="12" t="n">
        <v>31.2</v>
      </c>
      <c r="F87" s="12" t="n">
        <v>21</v>
      </c>
      <c r="G87" s="12" t="n">
        <v>25.9</v>
      </c>
      <c r="H87" s="16" t="n">
        <v>25.74</v>
      </c>
      <c r="I87" s="12" t="n">
        <v>27.58</v>
      </c>
      <c r="J87" s="12" t="n">
        <v>24.17</v>
      </c>
      <c r="K87" s="12" t="n">
        <v>3.42</v>
      </c>
      <c r="L87" s="12" t="n">
        <v>10.2</v>
      </c>
      <c r="M87" s="11" t="n">
        <v>65</v>
      </c>
      <c r="N87" s="12" t="n">
        <v>0</v>
      </c>
      <c r="O87" s="11" t="n">
        <v>0</v>
      </c>
      <c r="P87" s="11" t="n">
        <v>0</v>
      </c>
      <c r="Q87" s="11" t="n">
        <v>0</v>
      </c>
      <c r="R87" s="25" t="n">
        <v>0</v>
      </c>
      <c r="S87" s="25" t="n">
        <v>0.33</v>
      </c>
    </row>
    <row r="88">
      <c r="A88" s="24" t="n">
        <v>46025</v>
      </c>
      <c r="B88" s="10" t="inlineStr">
        <is>
          <t>2026-01</t>
        </is>
      </c>
      <c r="C88" s="11" t="n">
        <v>1</v>
      </c>
      <c r="D88" s="10" t="inlineStr">
        <is>
          <t>Mùa khô</t>
        </is>
      </c>
      <c r="E88" s="12" t="n">
        <v>30.7</v>
      </c>
      <c r="F88" s="12" t="n">
        <v>20.9</v>
      </c>
      <c r="G88" s="12" t="n">
        <v>25.7</v>
      </c>
      <c r="H88" s="16" t="n">
        <v>25.76</v>
      </c>
      <c r="I88" s="12" t="n">
        <v>27.25</v>
      </c>
      <c r="J88" s="12" t="n">
        <v>24.19</v>
      </c>
      <c r="K88" s="12" t="n">
        <v>3.06</v>
      </c>
      <c r="L88" s="12" t="n">
        <v>9.800000000000001</v>
      </c>
      <c r="M88" s="11" t="n">
        <v>59</v>
      </c>
      <c r="N88" s="12" t="n">
        <v>0</v>
      </c>
      <c r="O88" s="11" t="n">
        <v>0</v>
      </c>
      <c r="P88" s="11" t="n">
        <v>0</v>
      </c>
      <c r="Q88" s="11" t="n">
        <v>0</v>
      </c>
      <c r="R88" s="25" t="n">
        <v>-0.5</v>
      </c>
      <c r="S88" s="25" t="n">
        <v>-0.24</v>
      </c>
    </row>
    <row r="89">
      <c r="A89" s="24" t="n">
        <v>46026</v>
      </c>
      <c r="B89" s="10" t="inlineStr">
        <is>
          <t>2026-01</t>
        </is>
      </c>
      <c r="C89" s="11" t="n">
        <v>1</v>
      </c>
      <c r="D89" s="10" t="inlineStr">
        <is>
          <t>Mùa khô</t>
        </is>
      </c>
      <c r="E89" s="12" t="n">
        <v>33.2</v>
      </c>
      <c r="F89" s="12" t="n">
        <v>20.1</v>
      </c>
      <c r="G89" s="12" t="n">
        <v>26.4</v>
      </c>
      <c r="H89" s="16" t="n">
        <v>25.8</v>
      </c>
      <c r="I89" s="12" t="n">
        <v>28.49</v>
      </c>
      <c r="J89" s="12" t="n">
        <v>24.32</v>
      </c>
      <c r="K89" s="12" t="n">
        <v>4.17</v>
      </c>
      <c r="L89" s="12" t="n">
        <v>13.1</v>
      </c>
      <c r="M89" s="11" t="n">
        <v>58</v>
      </c>
      <c r="N89" s="12" t="n">
        <v>0</v>
      </c>
      <c r="O89" s="11" t="n">
        <v>0</v>
      </c>
      <c r="P89" s="11" t="n">
        <v>0</v>
      </c>
      <c r="Q89" s="11" t="n">
        <v>1</v>
      </c>
      <c r="R89" s="25" t="n">
        <v>2.5</v>
      </c>
      <c r="S89" s="25" t="n">
        <v>2.2</v>
      </c>
    </row>
    <row r="90">
      <c r="A90" s="24" t="n">
        <v>46027</v>
      </c>
      <c r="B90" s="10" t="inlineStr">
        <is>
          <t>2026-01</t>
        </is>
      </c>
      <c r="C90" s="11" t="n">
        <v>1</v>
      </c>
      <c r="D90" s="10" t="inlineStr">
        <is>
          <t>Mùa khô</t>
        </is>
      </c>
      <c r="E90" s="12" t="n">
        <v>32</v>
      </c>
      <c r="F90" s="12" t="n">
        <v>23.7</v>
      </c>
      <c r="G90" s="12" t="n">
        <v>27</v>
      </c>
      <c r="H90" s="16" t="n">
        <v>25.93</v>
      </c>
      <c r="I90" s="12" t="n">
        <v>28.94</v>
      </c>
      <c r="J90" s="12" t="n">
        <v>25.11</v>
      </c>
      <c r="K90" s="12" t="n">
        <v>3.83</v>
      </c>
      <c r="L90" s="12" t="n">
        <v>8.300000000000001</v>
      </c>
      <c r="M90" s="11" t="n">
        <v>69</v>
      </c>
      <c r="N90" s="12" t="n">
        <v>0.3</v>
      </c>
      <c r="O90" s="11" t="n">
        <v>0</v>
      </c>
      <c r="P90" s="11" t="n">
        <v>1</v>
      </c>
      <c r="Q90" s="11" t="n">
        <v>0</v>
      </c>
      <c r="R90" s="25" t="n">
        <v>-1.2</v>
      </c>
      <c r="S90" s="25" t="n">
        <v>0.6899999999999999</v>
      </c>
    </row>
    <row r="91">
      <c r="A91" s="24" t="n">
        <v>46028</v>
      </c>
      <c r="B91" s="10" t="inlineStr">
        <is>
          <t>2026-01</t>
        </is>
      </c>
      <c r="C91" s="11" t="n">
        <v>1</v>
      </c>
      <c r="D91" s="10" t="inlineStr">
        <is>
          <t>Mùa khô</t>
        </is>
      </c>
      <c r="E91" s="12" t="n">
        <v>31.2</v>
      </c>
      <c r="F91" s="12" t="n">
        <v>23.6</v>
      </c>
      <c r="G91" s="12" t="n">
        <v>25.9</v>
      </c>
      <c r="H91" s="16" t="n">
        <v>26</v>
      </c>
      <c r="I91" s="12" t="n">
        <v>27.07</v>
      </c>
      <c r="J91" s="12" t="n">
        <v>24.68</v>
      </c>
      <c r="K91" s="12" t="n">
        <v>2.39</v>
      </c>
      <c r="L91" s="12" t="n">
        <v>7.6</v>
      </c>
      <c r="M91" s="11" t="n">
        <v>81</v>
      </c>
      <c r="N91" s="12" t="n">
        <v>22.2</v>
      </c>
      <c r="O91" s="11" t="n">
        <v>1</v>
      </c>
      <c r="P91" s="11" t="n">
        <v>0</v>
      </c>
      <c r="Q91" s="11" t="n">
        <v>0</v>
      </c>
      <c r="R91" s="25" t="n">
        <v>-0.8</v>
      </c>
      <c r="S91" s="25" t="n">
        <v>-0.23</v>
      </c>
    </row>
    <row r="92">
      <c r="A92" s="24" t="n">
        <v>46029</v>
      </c>
      <c r="B92" s="10" t="inlineStr">
        <is>
          <t>2026-01</t>
        </is>
      </c>
      <c r="C92" s="11" t="n">
        <v>1</v>
      </c>
      <c r="D92" s="10" t="inlineStr">
        <is>
          <t>Mùa khô</t>
        </is>
      </c>
      <c r="E92" s="12" t="n">
        <v>30.7</v>
      </c>
      <c r="F92" s="12" t="n">
        <v>21.9</v>
      </c>
      <c r="G92" s="12" t="n">
        <v>25.9</v>
      </c>
      <c r="H92" s="16" t="n">
        <v>26.06</v>
      </c>
      <c r="I92" s="12" t="n">
        <v>27.5</v>
      </c>
      <c r="J92" s="12" t="n">
        <v>24.31</v>
      </c>
      <c r="K92" s="12" t="n">
        <v>3.19</v>
      </c>
      <c r="L92" s="12" t="n">
        <v>8.800000000000001</v>
      </c>
      <c r="M92" s="11" t="n">
        <v>67</v>
      </c>
      <c r="N92" s="12" t="n">
        <v>0</v>
      </c>
      <c r="O92" s="11" t="n">
        <v>0</v>
      </c>
      <c r="P92" s="11" t="n">
        <v>0</v>
      </c>
      <c r="Q92" s="11" t="n">
        <v>0</v>
      </c>
      <c r="R92" s="25" t="n">
        <v>-0.5</v>
      </c>
      <c r="S92" s="25" t="n">
        <v>-0.83</v>
      </c>
    </row>
    <row r="93">
      <c r="A93" s="24" t="n">
        <v>46030</v>
      </c>
      <c r="B93" s="10" t="inlineStr">
        <is>
          <t>2026-01</t>
        </is>
      </c>
      <c r="C93" s="11" t="n">
        <v>1</v>
      </c>
      <c r="D93" s="10" t="inlineStr">
        <is>
          <t>Mùa khô</t>
        </is>
      </c>
      <c r="E93" s="12" t="n">
        <v>30.7</v>
      </c>
      <c r="F93" s="12" t="n">
        <v>20.5</v>
      </c>
      <c r="G93" s="12" t="n">
        <v>25.3</v>
      </c>
      <c r="H93" s="16" t="n">
        <v>26.01</v>
      </c>
      <c r="I93" s="12" t="n">
        <v>27.13</v>
      </c>
      <c r="J93" s="12" t="n">
        <v>23.53</v>
      </c>
      <c r="K93" s="12" t="n">
        <v>3.61</v>
      </c>
      <c r="L93" s="12" t="n">
        <v>10.2</v>
      </c>
      <c r="M93" s="11" t="n">
        <v>60</v>
      </c>
      <c r="N93" s="12" t="n">
        <v>0</v>
      </c>
      <c r="O93" s="11" t="n">
        <v>0</v>
      </c>
      <c r="P93" s="11" t="n">
        <v>0</v>
      </c>
      <c r="Q93" s="11" t="n">
        <v>0</v>
      </c>
      <c r="R93" s="25" t="n">
        <v>0</v>
      </c>
      <c r="S93" s="25" t="n">
        <v>-0.76</v>
      </c>
    </row>
    <row r="94">
      <c r="A94" s="24" t="n">
        <v>46031</v>
      </c>
      <c r="B94" s="10" t="inlineStr">
        <is>
          <t>2026-01</t>
        </is>
      </c>
      <c r="C94" s="11" t="n">
        <v>1</v>
      </c>
      <c r="D94" s="10" t="inlineStr">
        <is>
          <t>Mùa khô</t>
        </is>
      </c>
      <c r="E94" s="12" t="n">
        <v>29.6</v>
      </c>
      <c r="F94" s="12" t="n">
        <v>17.9</v>
      </c>
      <c r="G94" s="12" t="n">
        <v>23.7</v>
      </c>
      <c r="H94" s="16" t="n">
        <v>25.7</v>
      </c>
      <c r="I94" s="12" t="n">
        <v>25.16</v>
      </c>
      <c r="J94" s="12" t="n">
        <v>22.2</v>
      </c>
      <c r="K94" s="12" t="n">
        <v>2.96</v>
      </c>
      <c r="L94" s="12" t="n">
        <v>11.7</v>
      </c>
      <c r="M94" s="11" t="n">
        <v>55</v>
      </c>
      <c r="N94" s="12" t="n">
        <v>0</v>
      </c>
      <c r="O94" s="11" t="n">
        <v>0</v>
      </c>
      <c r="P94" s="11" t="n">
        <v>0</v>
      </c>
      <c r="Q94" s="11" t="n">
        <v>0</v>
      </c>
      <c r="R94" s="25" t="n">
        <v>-1.1</v>
      </c>
      <c r="S94" s="25" t="n">
        <v>-1.79</v>
      </c>
    </row>
    <row r="95">
      <c r="A95" s="24" t="n">
        <v>46032</v>
      </c>
      <c r="B95" s="10" t="inlineStr">
        <is>
          <t>2026-01</t>
        </is>
      </c>
      <c r="C95" s="11" t="n">
        <v>1</v>
      </c>
      <c r="D95" s="10" t="inlineStr">
        <is>
          <t>Mùa khô</t>
        </is>
      </c>
      <c r="E95" s="12" t="n">
        <v>30.5</v>
      </c>
      <c r="F95" s="12" t="n">
        <v>18.7</v>
      </c>
      <c r="G95" s="12" t="n">
        <v>24.8</v>
      </c>
      <c r="H95" s="16" t="n">
        <v>25.57</v>
      </c>
      <c r="I95" s="12" t="n">
        <v>26.32</v>
      </c>
      <c r="J95" s="12" t="n">
        <v>23.31</v>
      </c>
      <c r="K95" s="12" t="n">
        <v>3.02</v>
      </c>
      <c r="L95" s="12" t="n">
        <v>11.8</v>
      </c>
      <c r="M95" s="11" t="n">
        <v>57</v>
      </c>
      <c r="N95" s="12" t="n">
        <v>0</v>
      </c>
      <c r="O95" s="11" t="n">
        <v>0</v>
      </c>
      <c r="P95" s="11" t="n">
        <v>0</v>
      </c>
      <c r="Q95" s="11" t="n">
        <v>0</v>
      </c>
      <c r="R95" s="25" t="n">
        <v>0.9</v>
      </c>
      <c r="S95" s="25" t="n">
        <v>-0.66</v>
      </c>
    </row>
    <row r="96">
      <c r="A96" s="24" t="n">
        <v>46033</v>
      </c>
      <c r="B96" s="10" t="inlineStr">
        <is>
          <t>2026-01</t>
        </is>
      </c>
      <c r="C96" s="11" t="n">
        <v>1</v>
      </c>
      <c r="D96" s="10" t="inlineStr">
        <is>
          <t>Mùa khô</t>
        </is>
      </c>
      <c r="E96" s="12" t="n">
        <v>30.9</v>
      </c>
      <c r="F96" s="12" t="n">
        <v>20.6</v>
      </c>
      <c r="G96" s="12" t="n">
        <v>25.7</v>
      </c>
      <c r="H96" s="16" t="n">
        <v>25.47</v>
      </c>
      <c r="I96" s="12" t="n">
        <v>27.3</v>
      </c>
      <c r="J96" s="12" t="n">
        <v>24.22</v>
      </c>
      <c r="K96" s="12" t="n">
        <v>3.08</v>
      </c>
      <c r="L96" s="12" t="n">
        <v>10.3</v>
      </c>
      <c r="M96" s="11" t="n">
        <v>61</v>
      </c>
      <c r="N96" s="12" t="n">
        <v>0</v>
      </c>
      <c r="O96" s="11" t="n">
        <v>0</v>
      </c>
      <c r="P96" s="11" t="n">
        <v>0</v>
      </c>
      <c r="Q96" s="11" t="n">
        <v>0</v>
      </c>
      <c r="R96" s="25" t="n">
        <v>0.4</v>
      </c>
      <c r="S96" s="25" t="n">
        <v>-0.23</v>
      </c>
    </row>
    <row r="97">
      <c r="A97" s="24" t="n">
        <v>46034</v>
      </c>
      <c r="B97" s="10" t="inlineStr">
        <is>
          <t>2026-01</t>
        </is>
      </c>
      <c r="C97" s="11" t="n">
        <v>1</v>
      </c>
      <c r="D97" s="10" t="inlineStr">
        <is>
          <t>Mùa khô</t>
        </is>
      </c>
      <c r="E97" s="12" t="n">
        <v>32.3</v>
      </c>
      <c r="F97" s="12" t="n">
        <v>23.4</v>
      </c>
      <c r="G97" s="12" t="n">
        <v>27.1</v>
      </c>
      <c r="H97" s="16" t="n">
        <v>25.49</v>
      </c>
      <c r="I97" s="12" t="n">
        <v>28.95</v>
      </c>
      <c r="J97" s="12" t="n">
        <v>25.32</v>
      </c>
      <c r="K97" s="12" t="n">
        <v>3.63</v>
      </c>
      <c r="L97" s="12" t="n">
        <v>8.9</v>
      </c>
      <c r="M97" s="11" t="n">
        <v>67</v>
      </c>
      <c r="N97" s="12" t="n">
        <v>0</v>
      </c>
      <c r="O97" s="11" t="n">
        <v>0</v>
      </c>
      <c r="P97" s="11" t="n">
        <v>1</v>
      </c>
      <c r="Q97" s="11" t="n">
        <v>0</v>
      </c>
      <c r="R97" s="25" t="n">
        <v>1.4</v>
      </c>
      <c r="S97" s="25" t="n">
        <v>1.5</v>
      </c>
    </row>
    <row r="98">
      <c r="A98" s="24" t="n">
        <v>46035</v>
      </c>
      <c r="B98" s="10" t="inlineStr">
        <is>
          <t>2026-01</t>
        </is>
      </c>
      <c r="C98" s="11" t="n">
        <v>1</v>
      </c>
      <c r="D98" s="10" t="inlineStr">
        <is>
          <t>Mùa khô</t>
        </is>
      </c>
      <c r="E98" s="12" t="n">
        <v>30.1</v>
      </c>
      <c r="F98" s="12" t="n">
        <v>22.6</v>
      </c>
      <c r="G98" s="12" t="n">
        <v>26</v>
      </c>
      <c r="H98" s="16" t="n">
        <v>25.5</v>
      </c>
      <c r="I98" s="12" t="n">
        <v>27.68</v>
      </c>
      <c r="J98" s="12" t="n">
        <v>24.41</v>
      </c>
      <c r="K98" s="12" t="n">
        <v>3.27</v>
      </c>
      <c r="L98" s="12" t="n">
        <v>7.5</v>
      </c>
      <c r="M98" s="11" t="n">
        <v>74</v>
      </c>
      <c r="N98" s="12" t="n">
        <v>4</v>
      </c>
      <c r="O98" s="11" t="n">
        <v>1</v>
      </c>
      <c r="P98" s="11" t="n">
        <v>0</v>
      </c>
      <c r="Q98" s="11" t="n">
        <v>0</v>
      </c>
      <c r="R98" s="25" t="n">
        <v>-2.2</v>
      </c>
      <c r="S98" s="25" t="n">
        <v>-0.74</v>
      </c>
    </row>
    <row r="99">
      <c r="A99" s="24" t="n">
        <v>46036</v>
      </c>
      <c r="B99" s="10" t="inlineStr">
        <is>
          <t>2026-01</t>
        </is>
      </c>
      <c r="C99" s="11" t="n">
        <v>1</v>
      </c>
      <c r="D99" s="10" t="inlineStr">
        <is>
          <t>Mùa khô</t>
        </is>
      </c>
      <c r="E99" s="12" t="n">
        <v>31.1</v>
      </c>
      <c r="F99" s="12" t="n">
        <v>22.2</v>
      </c>
      <c r="G99" s="12" t="n">
        <v>26.2</v>
      </c>
      <c r="H99" s="16" t="n">
        <v>25.54</v>
      </c>
      <c r="I99" s="12" t="n">
        <v>28.28</v>
      </c>
      <c r="J99" s="12" t="n">
        <v>24.18</v>
      </c>
      <c r="K99" s="12" t="n">
        <v>4.09</v>
      </c>
      <c r="L99" s="12" t="n">
        <v>8.9</v>
      </c>
      <c r="M99" s="11" t="n">
        <v>72</v>
      </c>
      <c r="N99" s="12" t="n">
        <v>0.4</v>
      </c>
      <c r="O99" s="11" t="n">
        <v>0</v>
      </c>
      <c r="P99" s="11" t="n">
        <v>0</v>
      </c>
      <c r="Q99" s="11" t="n">
        <v>0</v>
      </c>
      <c r="R99" s="25" t="n">
        <v>1</v>
      </c>
      <c r="S99" s="25" t="n">
        <v>0.41</v>
      </c>
    </row>
    <row r="100">
      <c r="A100" s="24" t="n">
        <v>46037</v>
      </c>
      <c r="B100" s="10" t="inlineStr">
        <is>
          <t>2026-01</t>
        </is>
      </c>
      <c r="C100" s="11" t="n">
        <v>1</v>
      </c>
      <c r="D100" s="10" t="inlineStr">
        <is>
          <t>Mùa khô</t>
        </is>
      </c>
      <c r="E100" s="12" t="n">
        <v>32.4</v>
      </c>
      <c r="F100" s="12" t="n">
        <v>22.4</v>
      </c>
      <c r="G100" s="12" t="n">
        <v>26.6</v>
      </c>
      <c r="H100" s="16" t="n">
        <v>25.73</v>
      </c>
      <c r="I100" s="12" t="n">
        <v>29.06</v>
      </c>
      <c r="J100" s="12" t="n">
        <v>24.2</v>
      </c>
      <c r="K100" s="12" t="n">
        <v>4.86</v>
      </c>
      <c r="L100" s="12" t="n">
        <v>10</v>
      </c>
      <c r="M100" s="11" t="n">
        <v>72</v>
      </c>
      <c r="N100" s="12" t="n">
        <v>0.5</v>
      </c>
      <c r="O100" s="11" t="n">
        <v>0</v>
      </c>
      <c r="P100" s="11" t="n">
        <v>0</v>
      </c>
      <c r="Q100" s="11" t="n">
        <v>0</v>
      </c>
      <c r="R100" s="25" t="n">
        <v>1.3</v>
      </c>
      <c r="S100" s="25" t="n">
        <v>1.66</v>
      </c>
    </row>
    <row r="101">
      <c r="A101" s="24" t="n">
        <v>46038</v>
      </c>
      <c r="B101" s="10" t="inlineStr">
        <is>
          <t>2026-01</t>
        </is>
      </c>
      <c r="C101" s="11" t="n">
        <v>1</v>
      </c>
      <c r="D101" s="10" t="inlineStr">
        <is>
          <t>Mùa khô</t>
        </is>
      </c>
      <c r="E101" s="12" t="n">
        <v>32.4</v>
      </c>
      <c r="F101" s="12" t="n">
        <v>22.3</v>
      </c>
      <c r="G101" s="12" t="n">
        <v>26.6</v>
      </c>
      <c r="H101" s="16" t="n">
        <v>26.14</v>
      </c>
      <c r="I101" s="12" t="n">
        <v>28.9</v>
      </c>
      <c r="J101" s="12" t="n">
        <v>24.38</v>
      </c>
      <c r="K101" s="12" t="n">
        <v>4.52</v>
      </c>
      <c r="L101" s="12" t="n">
        <v>10.1</v>
      </c>
      <c r="M101" s="11" t="n">
        <v>70</v>
      </c>
      <c r="N101" s="12" t="n">
        <v>0</v>
      </c>
      <c r="O101" s="11" t="n">
        <v>0</v>
      </c>
      <c r="P101" s="11" t="n">
        <v>0</v>
      </c>
      <c r="Q101" s="11" t="n">
        <v>0</v>
      </c>
      <c r="R101" s="25" t="n">
        <v>0</v>
      </c>
      <c r="S101" s="25" t="n">
        <v>1.41</v>
      </c>
    </row>
    <row r="102">
      <c r="A102" s="24" t="n">
        <v>46039</v>
      </c>
      <c r="B102" s="10" t="inlineStr">
        <is>
          <t>2026-01</t>
        </is>
      </c>
      <c r="C102" s="11" t="n">
        <v>1</v>
      </c>
      <c r="D102" s="10" t="inlineStr">
        <is>
          <t>Mùa khô</t>
        </is>
      </c>
      <c r="E102" s="12" t="n">
        <v>32.9</v>
      </c>
      <c r="F102" s="12" t="n">
        <v>22.3</v>
      </c>
      <c r="G102" s="12" t="n">
        <v>26.5</v>
      </c>
      <c r="H102" s="16" t="n">
        <v>26.39</v>
      </c>
      <c r="I102" s="12" t="n">
        <v>29.01</v>
      </c>
      <c r="J102" s="12" t="n">
        <v>24.09</v>
      </c>
      <c r="K102" s="12" t="n">
        <v>4.92</v>
      </c>
      <c r="L102" s="12" t="n">
        <v>10.6</v>
      </c>
      <c r="M102" s="11" t="n">
        <v>70</v>
      </c>
      <c r="N102" s="12" t="n">
        <v>0</v>
      </c>
      <c r="O102" s="11" t="n">
        <v>0</v>
      </c>
      <c r="P102" s="11" t="n">
        <v>0</v>
      </c>
      <c r="Q102" s="11" t="n">
        <v>0</v>
      </c>
      <c r="R102" s="25" t="n">
        <v>0.5</v>
      </c>
      <c r="S102" s="25" t="n">
        <v>1.51</v>
      </c>
    </row>
    <row r="103">
      <c r="A103" s="24" t="n">
        <v>46040</v>
      </c>
      <c r="B103" s="10" t="inlineStr">
        <is>
          <t>2026-01</t>
        </is>
      </c>
      <c r="C103" s="11" t="n">
        <v>1</v>
      </c>
      <c r="D103" s="10" t="inlineStr">
        <is>
          <t>Mùa khô</t>
        </is>
      </c>
      <c r="E103" s="12" t="n">
        <v>32.4</v>
      </c>
      <c r="F103" s="12" t="n">
        <v>22.4</v>
      </c>
      <c r="G103" s="12" t="n">
        <v>26.5</v>
      </c>
      <c r="H103" s="16" t="n">
        <v>26.5</v>
      </c>
      <c r="I103" s="12" t="n">
        <v>28.82</v>
      </c>
      <c r="J103" s="12" t="n">
        <v>24.2</v>
      </c>
      <c r="K103" s="12" t="n">
        <v>4.62</v>
      </c>
      <c r="L103" s="12" t="n">
        <v>10</v>
      </c>
      <c r="M103" s="11" t="n">
        <v>70</v>
      </c>
      <c r="N103" s="12" t="n">
        <v>0.2</v>
      </c>
      <c r="O103" s="11" t="n">
        <v>0</v>
      </c>
      <c r="P103" s="11" t="n">
        <v>0</v>
      </c>
      <c r="Q103" s="11" t="n">
        <v>0</v>
      </c>
      <c r="R103" s="25" t="n">
        <v>-0.5</v>
      </c>
      <c r="S103" s="25" t="n">
        <v>0.67</v>
      </c>
    </row>
    <row r="104">
      <c r="A104" s="24" t="n">
        <v>46041</v>
      </c>
      <c r="B104" s="10" t="inlineStr">
        <is>
          <t>2026-01</t>
        </is>
      </c>
      <c r="C104" s="11" t="n">
        <v>1</v>
      </c>
      <c r="D104" s="10" t="inlineStr">
        <is>
          <t>Mùa khô</t>
        </is>
      </c>
      <c r="E104" s="12" t="n">
        <v>30.9</v>
      </c>
      <c r="F104" s="12" t="n">
        <v>22.7</v>
      </c>
      <c r="G104" s="12" t="n">
        <v>26.2</v>
      </c>
      <c r="H104" s="16" t="n">
        <v>26.37</v>
      </c>
      <c r="I104" s="12" t="n">
        <v>28.06</v>
      </c>
      <c r="J104" s="12" t="n">
        <v>24.41</v>
      </c>
      <c r="K104" s="12" t="n">
        <v>3.65</v>
      </c>
      <c r="L104" s="12" t="n">
        <v>8.199999999999999</v>
      </c>
      <c r="M104" s="11" t="n">
        <v>71</v>
      </c>
      <c r="N104" s="12" t="n">
        <v>0.4</v>
      </c>
      <c r="O104" s="11" t="n">
        <v>0</v>
      </c>
      <c r="P104" s="11" t="n">
        <v>0</v>
      </c>
      <c r="Q104" s="11" t="n">
        <v>0</v>
      </c>
      <c r="R104" s="25" t="n">
        <v>-1.5</v>
      </c>
      <c r="S104" s="25" t="n">
        <v>-1.04</v>
      </c>
    </row>
    <row r="105">
      <c r="A105" s="24" t="n">
        <v>46042</v>
      </c>
      <c r="B105" s="10" t="inlineStr">
        <is>
          <t>2026-01</t>
        </is>
      </c>
      <c r="C105" s="11" t="n">
        <v>1</v>
      </c>
      <c r="D105" s="10" t="inlineStr">
        <is>
          <t>Mùa khô</t>
        </is>
      </c>
      <c r="E105" s="12" t="n">
        <v>32.2</v>
      </c>
      <c r="F105" s="12" t="n">
        <v>22.7</v>
      </c>
      <c r="G105" s="12" t="n">
        <v>26.6</v>
      </c>
      <c r="H105" s="16" t="n">
        <v>26.46</v>
      </c>
      <c r="I105" s="12" t="n">
        <v>28.88</v>
      </c>
      <c r="J105" s="12" t="n">
        <v>24.4</v>
      </c>
      <c r="K105" s="12" t="n">
        <v>4.48</v>
      </c>
      <c r="L105" s="12" t="n">
        <v>9.5</v>
      </c>
      <c r="M105" s="11" t="n">
        <v>67</v>
      </c>
      <c r="N105" s="12" t="n">
        <v>0.1</v>
      </c>
      <c r="O105" s="11" t="n">
        <v>0</v>
      </c>
      <c r="P105" s="11" t="n">
        <v>0</v>
      </c>
      <c r="Q105" s="11" t="n">
        <v>0</v>
      </c>
      <c r="R105" s="25" t="n">
        <v>1.3</v>
      </c>
      <c r="S105" s="25" t="n">
        <v>0.46</v>
      </c>
    </row>
    <row r="106">
      <c r="A106" s="24" t="n">
        <v>46043</v>
      </c>
      <c r="B106" s="10" t="inlineStr">
        <is>
          <t>2026-01</t>
        </is>
      </c>
      <c r="C106" s="11" t="n">
        <v>1</v>
      </c>
      <c r="D106" s="10" t="inlineStr">
        <is>
          <t>Mùa khô</t>
        </is>
      </c>
      <c r="E106" s="12" t="n">
        <v>33.6</v>
      </c>
      <c r="F106" s="12" t="n">
        <v>21.9</v>
      </c>
      <c r="G106" s="12" t="n">
        <v>26.7</v>
      </c>
      <c r="H106" s="16" t="n">
        <v>26.53</v>
      </c>
      <c r="I106" s="12" t="n">
        <v>29.08</v>
      </c>
      <c r="J106" s="12" t="n">
        <v>24.43</v>
      </c>
      <c r="K106" s="12" t="n">
        <v>4.65</v>
      </c>
      <c r="L106" s="12" t="n">
        <v>11.7</v>
      </c>
      <c r="M106" s="11" t="n">
        <v>61</v>
      </c>
      <c r="N106" s="12" t="n">
        <v>0</v>
      </c>
      <c r="O106" s="11" t="n">
        <v>0</v>
      </c>
      <c r="P106" s="11" t="n">
        <v>0</v>
      </c>
      <c r="Q106" s="11" t="n">
        <v>0</v>
      </c>
      <c r="R106" s="25" t="n">
        <v>1.4</v>
      </c>
      <c r="S106" s="25" t="n">
        <v>1.56</v>
      </c>
    </row>
    <row r="107">
      <c r="A107" s="24" t="n">
        <v>46044</v>
      </c>
      <c r="B107" s="10" t="inlineStr">
        <is>
          <t>2026-01</t>
        </is>
      </c>
      <c r="C107" s="11" t="n">
        <v>1</v>
      </c>
      <c r="D107" s="10" t="inlineStr">
        <is>
          <t>Mùa khô</t>
        </is>
      </c>
      <c r="E107" s="12" t="n">
        <v>33.6</v>
      </c>
      <c r="F107" s="12" t="n">
        <v>21.5</v>
      </c>
      <c r="G107" s="12" t="n">
        <v>27.2</v>
      </c>
      <c r="H107" s="16" t="n">
        <v>26.61</v>
      </c>
      <c r="I107" s="12" t="n">
        <v>29.22</v>
      </c>
      <c r="J107" s="12" t="n">
        <v>25.18</v>
      </c>
      <c r="K107" s="12" t="n">
        <v>4.05</v>
      </c>
      <c r="L107" s="12" t="n">
        <v>12.1</v>
      </c>
      <c r="M107" s="11" t="n">
        <v>59</v>
      </c>
      <c r="N107" s="12" t="n">
        <v>0</v>
      </c>
      <c r="O107" s="11" t="n">
        <v>0</v>
      </c>
      <c r="P107" s="11" t="n">
        <v>0</v>
      </c>
      <c r="Q107" s="11" t="n">
        <v>0</v>
      </c>
      <c r="R107" s="25" t="n">
        <v>0</v>
      </c>
      <c r="S107" s="25" t="n">
        <v>1.2</v>
      </c>
    </row>
    <row r="108">
      <c r="A108" s="24" t="n">
        <v>46045</v>
      </c>
      <c r="B108" s="10" t="inlineStr">
        <is>
          <t>2026-01</t>
        </is>
      </c>
      <c r="C108" s="11" t="n">
        <v>1</v>
      </c>
      <c r="D108" s="10" t="inlineStr">
        <is>
          <t>Mùa khô</t>
        </is>
      </c>
      <c r="E108" s="12" t="n">
        <v>34.1</v>
      </c>
      <c r="F108" s="12" t="n">
        <v>22.9</v>
      </c>
      <c r="G108" s="12" t="n">
        <v>27.7</v>
      </c>
      <c r="H108" s="16" t="n">
        <v>26.77</v>
      </c>
      <c r="I108" s="12" t="n">
        <v>29.82</v>
      </c>
      <c r="J108" s="12" t="n">
        <v>25.65</v>
      </c>
      <c r="K108" s="12" t="n">
        <v>4.17</v>
      </c>
      <c r="L108" s="12" t="n">
        <v>11.2</v>
      </c>
      <c r="M108" s="11" t="n">
        <v>55</v>
      </c>
      <c r="N108" s="12" t="n">
        <v>0</v>
      </c>
      <c r="O108" s="11" t="n">
        <v>0</v>
      </c>
      <c r="P108" s="11" t="n">
        <v>0</v>
      </c>
      <c r="Q108" s="11" t="n">
        <v>0</v>
      </c>
      <c r="R108" s="25" t="n">
        <v>0.5</v>
      </c>
      <c r="S108" s="25" t="n">
        <v>1.53</v>
      </c>
    </row>
    <row r="109">
      <c r="A109" s="24" t="n">
        <v>46046</v>
      </c>
      <c r="B109" s="10" t="inlineStr">
        <is>
          <t>2026-01</t>
        </is>
      </c>
      <c r="C109" s="11" t="n">
        <v>1</v>
      </c>
      <c r="D109" s="10" t="inlineStr">
        <is>
          <t>Mùa khô</t>
        </is>
      </c>
      <c r="E109" s="12" t="n">
        <v>32.4</v>
      </c>
      <c r="F109" s="12" t="n">
        <v>21.7</v>
      </c>
      <c r="G109" s="12" t="n">
        <v>26.7</v>
      </c>
      <c r="H109" s="16" t="n">
        <v>26.8</v>
      </c>
      <c r="I109" s="12" t="n">
        <v>28.77</v>
      </c>
      <c r="J109" s="12" t="n">
        <v>24.59</v>
      </c>
      <c r="K109" s="12" t="n">
        <v>4.17</v>
      </c>
      <c r="L109" s="12" t="n">
        <v>10.7</v>
      </c>
      <c r="M109" s="11" t="n">
        <v>65</v>
      </c>
      <c r="N109" s="12" t="n">
        <v>0</v>
      </c>
      <c r="O109" s="11" t="n">
        <v>0</v>
      </c>
      <c r="P109" s="11" t="n">
        <v>0</v>
      </c>
      <c r="Q109" s="11" t="n">
        <v>0</v>
      </c>
      <c r="R109" s="25" t="n">
        <v>-1.7</v>
      </c>
      <c r="S109" s="25" t="n">
        <v>-0.41</v>
      </c>
    </row>
    <row r="110">
      <c r="A110" s="24" t="n">
        <v>46047</v>
      </c>
      <c r="B110" s="10" t="inlineStr">
        <is>
          <t>2026-01</t>
        </is>
      </c>
      <c r="C110" s="11" t="n">
        <v>1</v>
      </c>
      <c r="D110" s="10" t="inlineStr">
        <is>
          <t>Mùa khô</t>
        </is>
      </c>
      <c r="E110" s="12" t="n">
        <v>33.1</v>
      </c>
      <c r="F110" s="12" t="n">
        <v>21.9</v>
      </c>
      <c r="G110" s="12" t="n">
        <v>26.4</v>
      </c>
      <c r="H110" s="16" t="n">
        <v>26.79</v>
      </c>
      <c r="I110" s="12" t="n">
        <v>28.47</v>
      </c>
      <c r="J110" s="12" t="n">
        <v>24.4</v>
      </c>
      <c r="K110" s="12" t="n">
        <v>4.07</v>
      </c>
      <c r="L110" s="12" t="n">
        <v>11.2</v>
      </c>
      <c r="M110" s="11" t="n">
        <v>64</v>
      </c>
      <c r="N110" s="12" t="n">
        <v>0</v>
      </c>
      <c r="O110" s="11" t="n">
        <v>0</v>
      </c>
      <c r="P110" s="11" t="n">
        <v>0</v>
      </c>
      <c r="Q110" s="11" t="n">
        <v>0</v>
      </c>
      <c r="R110" s="25" t="n">
        <v>0.7</v>
      </c>
      <c r="S110" s="25" t="n">
        <v>0.36</v>
      </c>
    </row>
    <row r="111">
      <c r="A111" s="24" t="n">
        <v>46048</v>
      </c>
      <c r="B111" s="10" t="inlineStr">
        <is>
          <t>2026-01</t>
        </is>
      </c>
      <c r="C111" s="11" t="n">
        <v>1</v>
      </c>
      <c r="D111" s="10" t="inlineStr">
        <is>
          <t>Mùa khô</t>
        </is>
      </c>
      <c r="E111" s="12" t="n">
        <v>33.3</v>
      </c>
      <c r="F111" s="12" t="n">
        <v>22</v>
      </c>
      <c r="G111" s="12" t="n">
        <v>26.5</v>
      </c>
      <c r="H111" s="16" t="n">
        <v>26.83</v>
      </c>
      <c r="I111" s="12" t="n">
        <v>28.9</v>
      </c>
      <c r="J111" s="12" t="n">
        <v>24.27</v>
      </c>
      <c r="K111" s="12" t="n">
        <v>4.63</v>
      </c>
      <c r="L111" s="12" t="n">
        <v>11.3</v>
      </c>
      <c r="M111" s="11" t="n">
        <v>64</v>
      </c>
      <c r="N111" s="12" t="n">
        <v>0</v>
      </c>
      <c r="O111" s="11" t="n">
        <v>0</v>
      </c>
      <c r="P111" s="11" t="n">
        <v>0</v>
      </c>
      <c r="Q111" s="11" t="n">
        <v>0</v>
      </c>
      <c r="R111" s="25" t="n">
        <v>0.2</v>
      </c>
      <c r="S111" s="25" t="n">
        <v>0.46</v>
      </c>
    </row>
    <row r="112">
      <c r="A112" s="24" t="n">
        <v>46049</v>
      </c>
      <c r="B112" s="10" t="inlineStr">
        <is>
          <t>2026-01</t>
        </is>
      </c>
      <c r="C112" s="11" t="n">
        <v>1</v>
      </c>
      <c r="D112" s="10" t="inlineStr">
        <is>
          <t>Mùa khô</t>
        </is>
      </c>
      <c r="E112" s="12" t="n">
        <v>33.8</v>
      </c>
      <c r="F112" s="12" t="n">
        <v>22.2</v>
      </c>
      <c r="G112" s="12" t="n">
        <v>26.9</v>
      </c>
      <c r="H112" s="16" t="n">
        <v>26.87</v>
      </c>
      <c r="I112" s="12" t="n">
        <v>29.52</v>
      </c>
      <c r="J112" s="12" t="n">
        <v>24.24</v>
      </c>
      <c r="K112" s="12" t="n">
        <v>5.28</v>
      </c>
      <c r="L112" s="12" t="n">
        <v>11.6</v>
      </c>
      <c r="M112" s="11" t="n">
        <v>62</v>
      </c>
      <c r="N112" s="12" t="n">
        <v>0</v>
      </c>
      <c r="O112" s="11" t="n">
        <v>0</v>
      </c>
      <c r="P112" s="11" t="n">
        <v>0</v>
      </c>
      <c r="Q112" s="11" t="n">
        <v>0</v>
      </c>
      <c r="R112" s="25" t="n">
        <v>0.5</v>
      </c>
      <c r="S112" s="25" t="n">
        <v>0.61</v>
      </c>
    </row>
    <row r="113">
      <c r="A113" s="24" t="n">
        <v>46050</v>
      </c>
      <c r="B113" s="10" t="inlineStr">
        <is>
          <t>2026-01</t>
        </is>
      </c>
      <c r="C113" s="11" t="n">
        <v>1</v>
      </c>
      <c r="D113" s="10" t="inlineStr">
        <is>
          <t>Mùa khô</t>
        </is>
      </c>
      <c r="E113" s="12" t="n">
        <v>34.2</v>
      </c>
      <c r="F113" s="12" t="n">
        <v>22</v>
      </c>
      <c r="G113" s="12" t="n">
        <v>27</v>
      </c>
      <c r="H113" s="16" t="n">
        <v>26.91</v>
      </c>
      <c r="I113" s="12" t="n">
        <v>29.53</v>
      </c>
      <c r="J113" s="12" t="n">
        <v>24.47</v>
      </c>
      <c r="K113" s="12" t="n">
        <v>5.06</v>
      </c>
      <c r="L113" s="12" t="n">
        <v>12.2</v>
      </c>
      <c r="M113" s="11" t="n">
        <v>63</v>
      </c>
      <c r="N113" s="12" t="n">
        <v>0</v>
      </c>
      <c r="O113" s="11" t="n">
        <v>0</v>
      </c>
      <c r="P113" s="11" t="n">
        <v>0</v>
      </c>
      <c r="Q113" s="11" t="n">
        <v>0</v>
      </c>
      <c r="R113" s="25" t="n">
        <v>0.4</v>
      </c>
      <c r="S113" s="25" t="n">
        <v>0.79</v>
      </c>
    </row>
    <row r="114">
      <c r="A114" s="24" t="n">
        <v>46051</v>
      </c>
      <c r="B114" s="10" t="inlineStr">
        <is>
          <t>2026-01</t>
        </is>
      </c>
      <c r="C114" s="11" t="n">
        <v>1</v>
      </c>
      <c r="D114" s="10" t="inlineStr">
        <is>
          <t>Mùa khô</t>
        </is>
      </c>
      <c r="E114" s="12" t="n">
        <v>32.9</v>
      </c>
      <c r="F114" s="12" t="n">
        <v>22.3</v>
      </c>
      <c r="G114" s="12" t="n">
        <v>27.1</v>
      </c>
      <c r="H114" s="16" t="n">
        <v>26.9</v>
      </c>
      <c r="I114" s="12" t="n">
        <v>29.38</v>
      </c>
      <c r="J114" s="12" t="n">
        <v>24.79</v>
      </c>
      <c r="K114" s="12" t="n">
        <v>4.59</v>
      </c>
      <c r="L114" s="12" t="n">
        <v>10.6</v>
      </c>
      <c r="M114" s="11" t="n">
        <v>63</v>
      </c>
      <c r="N114" s="12" t="n">
        <v>0</v>
      </c>
      <c r="O114" s="11" t="n">
        <v>0</v>
      </c>
      <c r="P114" s="11" t="n">
        <v>0</v>
      </c>
      <c r="Q114" s="11" t="n">
        <v>0</v>
      </c>
      <c r="R114" s="25" t="n">
        <v>-1.3</v>
      </c>
      <c r="S114" s="25" t="n">
        <v>-0.6</v>
      </c>
    </row>
    <row r="115">
      <c r="A115" s="24" t="n">
        <v>46052</v>
      </c>
      <c r="B115" s="10" t="inlineStr">
        <is>
          <t>2026-01</t>
        </is>
      </c>
      <c r="C115" s="11" t="n">
        <v>1</v>
      </c>
      <c r="D115" s="10" t="inlineStr">
        <is>
          <t>Mùa khô</t>
        </is>
      </c>
      <c r="E115" s="12" t="n">
        <v>33.5</v>
      </c>
      <c r="F115" s="12" t="n">
        <v>22.6</v>
      </c>
      <c r="G115" s="12" t="n">
        <v>27</v>
      </c>
      <c r="H115" s="16" t="n">
        <v>26.8</v>
      </c>
      <c r="I115" s="12" t="n">
        <v>29.39</v>
      </c>
      <c r="J115" s="12" t="n">
        <v>24.57</v>
      </c>
      <c r="K115" s="12" t="n">
        <v>4.82</v>
      </c>
      <c r="L115" s="12" t="n">
        <v>10.9</v>
      </c>
      <c r="M115" s="11" t="n">
        <v>64</v>
      </c>
      <c r="N115" s="12" t="n">
        <v>0</v>
      </c>
      <c r="O115" s="11" t="n">
        <v>0</v>
      </c>
      <c r="P115" s="11" t="n">
        <v>0</v>
      </c>
      <c r="Q115" s="11" t="n">
        <v>0</v>
      </c>
      <c r="R115" s="25" t="n">
        <v>0.6</v>
      </c>
      <c r="S115" s="25" t="n">
        <v>0.1</v>
      </c>
    </row>
    <row r="116">
      <c r="A116" s="24" t="n">
        <v>46053</v>
      </c>
      <c r="B116" s="10" t="inlineStr">
        <is>
          <t>2026-01</t>
        </is>
      </c>
      <c r="C116" s="11" t="n">
        <v>1</v>
      </c>
      <c r="D116" s="10" t="inlineStr">
        <is>
          <t>Mùa khô</t>
        </is>
      </c>
      <c r="E116" s="12" t="n">
        <v>34.4</v>
      </c>
      <c r="F116" s="12" t="n">
        <v>22.8</v>
      </c>
      <c r="G116" s="12" t="n">
        <v>27.4</v>
      </c>
      <c r="H116" s="16" t="n">
        <v>26.9</v>
      </c>
      <c r="I116" s="12" t="n">
        <v>30.03</v>
      </c>
      <c r="J116" s="12" t="n">
        <v>24.93</v>
      </c>
      <c r="K116" s="12" t="n">
        <v>5.09</v>
      </c>
      <c r="L116" s="12" t="n">
        <v>11.6</v>
      </c>
      <c r="M116" s="11" t="n">
        <v>63</v>
      </c>
      <c r="N116" s="12" t="n">
        <v>0</v>
      </c>
      <c r="O116" s="11" t="n">
        <v>0</v>
      </c>
      <c r="P116" s="11" t="n">
        <v>0</v>
      </c>
      <c r="Q116" s="11" t="n">
        <v>0</v>
      </c>
      <c r="R116" s="25" t="n">
        <v>0.9</v>
      </c>
      <c r="S116" s="25" t="n">
        <v>1.09</v>
      </c>
    </row>
    <row r="117">
      <c r="A117" s="24" t="n">
        <v>46054</v>
      </c>
      <c r="B117" s="10" t="inlineStr">
        <is>
          <t>2026-02</t>
        </is>
      </c>
      <c r="C117" s="11" t="n">
        <v>2</v>
      </c>
      <c r="D117" s="10" t="inlineStr">
        <is>
          <t>Mùa khô</t>
        </is>
      </c>
      <c r="E117" s="12" t="n">
        <v>34.1</v>
      </c>
      <c r="F117" s="12" t="n">
        <v>22.1</v>
      </c>
      <c r="G117" s="12" t="n">
        <v>27.3</v>
      </c>
      <c r="H117" s="16" t="n">
        <v>27.03</v>
      </c>
      <c r="I117" s="12" t="n">
        <v>29.77</v>
      </c>
      <c r="J117" s="12" t="n">
        <v>24.91</v>
      </c>
      <c r="K117" s="12" t="n">
        <v>4.86</v>
      </c>
      <c r="L117" s="12" t="n">
        <v>12</v>
      </c>
      <c r="M117" s="11" t="n">
        <v>58</v>
      </c>
      <c r="N117" s="12" t="n">
        <v>0</v>
      </c>
      <c r="O117" s="11" t="n">
        <v>0</v>
      </c>
      <c r="P117" s="11" t="n">
        <v>0</v>
      </c>
      <c r="Q117" s="11" t="n">
        <v>0</v>
      </c>
      <c r="R117" s="25" t="n">
        <v>-0.3</v>
      </c>
      <c r="S117" s="25" t="n">
        <v>0.5</v>
      </c>
    </row>
    <row r="118">
      <c r="A118" s="24" t="n">
        <v>46055</v>
      </c>
      <c r="B118" s="10" t="inlineStr">
        <is>
          <t>2026-02</t>
        </is>
      </c>
      <c r="C118" s="11" t="n">
        <v>2</v>
      </c>
      <c r="D118" s="10" t="inlineStr">
        <is>
          <t>Mùa khô</t>
        </is>
      </c>
      <c r="E118" s="12" t="n">
        <v>34.1</v>
      </c>
      <c r="F118" s="12" t="n">
        <v>21.5</v>
      </c>
      <c r="G118" s="12" t="n">
        <v>27.1</v>
      </c>
      <c r="H118" s="16" t="n">
        <v>27.11</v>
      </c>
      <c r="I118" s="12" t="n">
        <v>29.36</v>
      </c>
      <c r="J118" s="12" t="n">
        <v>24.82</v>
      </c>
      <c r="K118" s="12" t="n">
        <v>4.54</v>
      </c>
      <c r="L118" s="12" t="n">
        <v>12.6</v>
      </c>
      <c r="M118" s="11" t="n">
        <v>63</v>
      </c>
      <c r="N118" s="12" t="n">
        <v>0</v>
      </c>
      <c r="O118" s="11" t="n">
        <v>0</v>
      </c>
      <c r="P118" s="11" t="n">
        <v>0</v>
      </c>
      <c r="Q118" s="11" t="n">
        <v>0</v>
      </c>
      <c r="R118" s="25" t="n">
        <v>0</v>
      </c>
      <c r="S118" s="25" t="n">
        <v>0.36</v>
      </c>
    </row>
    <row r="119">
      <c r="A119" s="24" t="n">
        <v>46056</v>
      </c>
      <c r="B119" s="10" t="inlineStr">
        <is>
          <t>2026-02</t>
        </is>
      </c>
      <c r="C119" s="11" t="n">
        <v>2</v>
      </c>
      <c r="D119" s="10" t="inlineStr">
        <is>
          <t>Mùa khô</t>
        </is>
      </c>
      <c r="E119" s="12" t="n">
        <v>33.9</v>
      </c>
      <c r="F119" s="12" t="n">
        <v>24.4</v>
      </c>
      <c r="G119" s="12" t="n">
        <v>28.5</v>
      </c>
      <c r="H119" s="16" t="n">
        <v>27.34</v>
      </c>
      <c r="I119" s="12" t="n">
        <v>30.41</v>
      </c>
      <c r="J119" s="12" t="n">
        <v>26.6</v>
      </c>
      <c r="K119" s="12" t="n">
        <v>3.81</v>
      </c>
      <c r="L119" s="12" t="n">
        <v>9.5</v>
      </c>
      <c r="M119" s="11" t="n">
        <v>60</v>
      </c>
      <c r="N119" s="12" t="n">
        <v>0.9</v>
      </c>
      <c r="O119" s="11" t="n">
        <v>0</v>
      </c>
      <c r="P119" s="11" t="n">
        <v>1</v>
      </c>
      <c r="Q119" s="11" t="n">
        <v>0</v>
      </c>
      <c r="R119" s="25" t="n">
        <v>-0.2</v>
      </c>
      <c r="S119" s="25" t="n">
        <v>0.04</v>
      </c>
    </row>
    <row r="120">
      <c r="A120" s="24" t="n">
        <v>46057</v>
      </c>
      <c r="B120" s="10" t="inlineStr">
        <is>
          <t>2026-02</t>
        </is>
      </c>
      <c r="C120" s="11" t="n">
        <v>2</v>
      </c>
      <c r="D120" s="10" t="inlineStr">
        <is>
          <t>Mùa khô</t>
        </is>
      </c>
      <c r="E120" s="12" t="n">
        <v>33.4</v>
      </c>
      <c r="F120" s="12" t="n">
        <v>24.2</v>
      </c>
      <c r="G120" s="12" t="n">
        <v>27.8</v>
      </c>
      <c r="H120" s="16" t="n">
        <v>27.46</v>
      </c>
      <c r="I120" s="12" t="n">
        <v>29.64</v>
      </c>
      <c r="J120" s="12" t="n">
        <v>26.07</v>
      </c>
      <c r="K120" s="12" t="n">
        <v>3.57</v>
      </c>
      <c r="L120" s="12" t="n">
        <v>9.199999999999999</v>
      </c>
      <c r="M120" s="11" t="n">
        <v>64</v>
      </c>
      <c r="N120" s="12" t="n">
        <v>3.3</v>
      </c>
      <c r="O120" s="11" t="n">
        <v>1</v>
      </c>
      <c r="P120" s="11" t="n">
        <v>0</v>
      </c>
      <c r="Q120" s="11" t="n">
        <v>0</v>
      </c>
      <c r="R120" s="25" t="n">
        <v>-0.5</v>
      </c>
      <c r="S120" s="25" t="n">
        <v>-0.47</v>
      </c>
    </row>
    <row r="121">
      <c r="A121" s="24" t="n">
        <v>46058</v>
      </c>
      <c r="B121" s="10" t="inlineStr">
        <is>
          <t>2026-02</t>
        </is>
      </c>
      <c r="C121" s="11" t="n">
        <v>2</v>
      </c>
      <c r="D121" s="10" t="inlineStr">
        <is>
          <t>Mùa khô</t>
        </is>
      </c>
      <c r="E121" s="12" t="n">
        <v>32.8</v>
      </c>
      <c r="F121" s="12" t="n">
        <v>24.1</v>
      </c>
      <c r="G121" s="12" t="n">
        <v>27.2</v>
      </c>
      <c r="H121" s="16" t="n">
        <v>27.47</v>
      </c>
      <c r="I121" s="12" t="n">
        <v>29.25</v>
      </c>
      <c r="J121" s="12" t="n">
        <v>25.22</v>
      </c>
      <c r="K121" s="12" t="n">
        <v>4.03</v>
      </c>
      <c r="L121" s="12" t="n">
        <v>8.699999999999999</v>
      </c>
      <c r="M121" s="11" t="n">
        <v>72</v>
      </c>
      <c r="N121" s="12" t="n">
        <v>0.7</v>
      </c>
      <c r="O121" s="11" t="n">
        <v>0</v>
      </c>
      <c r="P121" s="11" t="n">
        <v>1</v>
      </c>
      <c r="Q121" s="11" t="n">
        <v>0</v>
      </c>
      <c r="R121" s="25" t="n">
        <v>-0.6</v>
      </c>
      <c r="S121" s="25" t="n">
        <v>-0.96</v>
      </c>
    </row>
    <row r="122">
      <c r="A122" s="24" t="n">
        <v>46059</v>
      </c>
      <c r="B122" s="10" t="inlineStr">
        <is>
          <t>2026-02</t>
        </is>
      </c>
      <c r="C122" s="11" t="n">
        <v>2</v>
      </c>
      <c r="D122" s="10" t="inlineStr">
        <is>
          <t>Mùa khô</t>
        </is>
      </c>
      <c r="E122" s="12" t="n">
        <v>30.5</v>
      </c>
      <c r="F122" s="12" t="n">
        <v>23.3</v>
      </c>
      <c r="G122" s="12" t="n">
        <v>26.3</v>
      </c>
      <c r="H122" s="16" t="n">
        <v>27.37</v>
      </c>
      <c r="I122" s="12" t="n">
        <v>28.18</v>
      </c>
      <c r="J122" s="12" t="n">
        <v>24.57</v>
      </c>
      <c r="K122" s="12" t="n">
        <v>3.61</v>
      </c>
      <c r="L122" s="12" t="n">
        <v>7.2</v>
      </c>
      <c r="M122" s="11" t="n">
        <v>75</v>
      </c>
      <c r="N122" s="12" t="n">
        <v>1.2</v>
      </c>
      <c r="O122" s="11" t="n">
        <v>1</v>
      </c>
      <c r="P122" s="11" t="n">
        <v>0</v>
      </c>
      <c r="Q122" s="11" t="n">
        <v>0</v>
      </c>
      <c r="R122" s="25" t="n">
        <v>-2.3</v>
      </c>
      <c r="S122" s="25" t="n">
        <v>-3.24</v>
      </c>
    </row>
    <row r="123">
      <c r="A123" s="24" t="n">
        <v>46060</v>
      </c>
      <c r="B123" s="10" t="inlineStr">
        <is>
          <t>2026-02</t>
        </is>
      </c>
      <c r="C123" s="11" t="n">
        <v>2</v>
      </c>
      <c r="D123" s="10" t="inlineStr">
        <is>
          <t>Mùa khô</t>
        </is>
      </c>
      <c r="E123" s="12" t="n">
        <v>33.3</v>
      </c>
      <c r="F123" s="12" t="n">
        <v>23.3</v>
      </c>
      <c r="G123" s="12" t="n">
        <v>26.9</v>
      </c>
      <c r="H123" s="16" t="n">
        <v>27.3</v>
      </c>
      <c r="I123" s="12" t="n">
        <v>29.42</v>
      </c>
      <c r="J123" s="12" t="n">
        <v>24.43</v>
      </c>
      <c r="K123" s="12" t="n">
        <v>4.99</v>
      </c>
      <c r="L123" s="12" t="n">
        <v>10</v>
      </c>
      <c r="M123" s="11" t="n">
        <v>72</v>
      </c>
      <c r="N123" s="12" t="n">
        <v>0</v>
      </c>
      <c r="O123" s="11" t="n">
        <v>0</v>
      </c>
      <c r="P123" s="11" t="n">
        <v>0</v>
      </c>
      <c r="Q123" s="11" t="n">
        <v>1</v>
      </c>
      <c r="R123" s="25" t="n">
        <v>2.8</v>
      </c>
      <c r="S123" s="25" t="n">
        <v>-0.01</v>
      </c>
    </row>
    <row r="124">
      <c r="A124" s="24" t="n">
        <v>46061</v>
      </c>
      <c r="B124" s="10" t="inlineStr">
        <is>
          <t>2026-02</t>
        </is>
      </c>
      <c r="C124" s="11" t="n">
        <v>2</v>
      </c>
      <c r="D124" s="10" t="inlineStr">
        <is>
          <t>Mùa khô</t>
        </is>
      </c>
      <c r="E124" s="12" t="n">
        <v>34.3</v>
      </c>
      <c r="F124" s="12" t="n">
        <v>23</v>
      </c>
      <c r="G124" s="12" t="n">
        <v>27.6</v>
      </c>
      <c r="H124" s="16" t="n">
        <v>27.34</v>
      </c>
      <c r="I124" s="12" t="n">
        <v>29.95</v>
      </c>
      <c r="J124" s="12" t="n">
        <v>25.32</v>
      </c>
      <c r="K124" s="12" t="n">
        <v>4.63</v>
      </c>
      <c r="L124" s="12" t="n">
        <v>11.3</v>
      </c>
      <c r="M124" s="11" t="n">
        <v>64</v>
      </c>
      <c r="N124" s="12" t="n">
        <v>0.1</v>
      </c>
      <c r="O124" s="11" t="n">
        <v>0</v>
      </c>
      <c r="P124" s="11" t="n">
        <v>0</v>
      </c>
      <c r="Q124" s="11" t="n">
        <v>0</v>
      </c>
      <c r="R124" s="25" t="n">
        <v>1</v>
      </c>
      <c r="S124" s="25" t="n">
        <v>1.14</v>
      </c>
    </row>
    <row r="125">
      <c r="A125" s="24" t="n">
        <v>46062</v>
      </c>
      <c r="B125" s="10" t="inlineStr">
        <is>
          <t>2026-02</t>
        </is>
      </c>
      <c r="C125" s="11" t="n">
        <v>2</v>
      </c>
      <c r="D125" s="10" t="inlineStr">
        <is>
          <t>Mùa khô</t>
        </is>
      </c>
      <c r="E125" s="12" t="n">
        <v>35.1</v>
      </c>
      <c r="F125" s="12" t="n">
        <v>22.2</v>
      </c>
      <c r="G125" s="12" t="n">
        <v>28.1</v>
      </c>
      <c r="H125" s="16" t="n">
        <v>27.49</v>
      </c>
      <c r="I125" s="12" t="n">
        <v>30.44</v>
      </c>
      <c r="J125" s="12" t="n">
        <v>25.88</v>
      </c>
      <c r="K125" s="12" t="n">
        <v>4.56</v>
      </c>
      <c r="L125" s="12" t="n">
        <v>12.9</v>
      </c>
      <c r="M125" s="11" t="n">
        <v>55</v>
      </c>
      <c r="N125" s="12" t="n">
        <v>0</v>
      </c>
      <c r="O125" s="11" t="n">
        <v>0</v>
      </c>
      <c r="P125" s="11" t="n">
        <v>1</v>
      </c>
      <c r="Q125" s="11" t="n">
        <v>0</v>
      </c>
      <c r="R125" s="25" t="n">
        <v>0.8</v>
      </c>
      <c r="S125" s="25" t="n">
        <v>1.91</v>
      </c>
    </row>
    <row r="126">
      <c r="A126" s="24" t="n">
        <v>46063</v>
      </c>
      <c r="B126" s="10" t="inlineStr">
        <is>
          <t>2026-02</t>
        </is>
      </c>
      <c r="C126" s="11" t="n">
        <v>2</v>
      </c>
      <c r="D126" s="10" t="inlineStr">
        <is>
          <t>Mùa khô</t>
        </is>
      </c>
      <c r="E126" s="12" t="n">
        <v>34.3</v>
      </c>
      <c r="F126" s="12" t="n">
        <v>22.5</v>
      </c>
      <c r="G126" s="12" t="n">
        <v>28</v>
      </c>
      <c r="H126" s="16" t="n">
        <v>27.41</v>
      </c>
      <c r="I126" s="12" t="n">
        <v>29.97</v>
      </c>
      <c r="J126" s="12" t="n">
        <v>26.18</v>
      </c>
      <c r="K126" s="12" t="n">
        <v>3.79</v>
      </c>
      <c r="L126" s="12" t="n">
        <v>11.8</v>
      </c>
      <c r="M126" s="11" t="n">
        <v>65</v>
      </c>
      <c r="N126" s="12" t="n">
        <v>1.2</v>
      </c>
      <c r="O126" s="11" t="n">
        <v>1</v>
      </c>
      <c r="P126" s="11" t="n">
        <v>1</v>
      </c>
      <c r="Q126" s="11" t="n">
        <v>0</v>
      </c>
      <c r="R126" s="25" t="n">
        <v>-0.8</v>
      </c>
      <c r="S126" s="25" t="n">
        <v>0.97</v>
      </c>
    </row>
    <row r="127">
      <c r="A127" s="24" t="n">
        <v>46064</v>
      </c>
      <c r="B127" s="10" t="inlineStr">
        <is>
          <t>2026-02</t>
        </is>
      </c>
      <c r="C127" s="11" t="n">
        <v>2</v>
      </c>
      <c r="D127" s="10" t="inlineStr">
        <is>
          <t>Mùa khô</t>
        </is>
      </c>
      <c r="E127" s="12" t="n">
        <v>31</v>
      </c>
      <c r="F127" s="12" t="n">
        <v>24.4</v>
      </c>
      <c r="G127" s="12" t="n">
        <v>26.7</v>
      </c>
      <c r="H127" s="16" t="n">
        <v>27.26</v>
      </c>
      <c r="I127" s="12" t="n">
        <v>27.7</v>
      </c>
      <c r="J127" s="12" t="n">
        <v>25.66</v>
      </c>
      <c r="K127" s="12" t="n">
        <v>2.04</v>
      </c>
      <c r="L127" s="12" t="n">
        <v>6.6</v>
      </c>
      <c r="M127" s="11" t="n">
        <v>78</v>
      </c>
      <c r="N127" s="12" t="n">
        <v>2.3</v>
      </c>
      <c r="O127" s="11" t="n">
        <v>1</v>
      </c>
      <c r="P127" s="11" t="n">
        <v>1</v>
      </c>
      <c r="Q127" s="11" t="n">
        <v>0</v>
      </c>
      <c r="R127" s="25" t="n">
        <v>-3.3</v>
      </c>
      <c r="S127" s="25" t="n">
        <v>-2.39</v>
      </c>
    </row>
    <row r="128">
      <c r="A128" s="24" t="n">
        <v>46065</v>
      </c>
      <c r="B128" s="10" t="inlineStr">
        <is>
          <t>2026-02</t>
        </is>
      </c>
      <c r="C128" s="11" t="n">
        <v>2</v>
      </c>
      <c r="D128" s="10" t="inlineStr">
        <is>
          <t>Mùa khô</t>
        </is>
      </c>
      <c r="E128" s="12" t="n">
        <v>31.9</v>
      </c>
      <c r="F128" s="12" t="n">
        <v>24</v>
      </c>
      <c r="G128" s="12" t="n">
        <v>27.1</v>
      </c>
      <c r="H128" s="16" t="n">
        <v>27.24</v>
      </c>
      <c r="I128" s="12" t="n">
        <v>28.6</v>
      </c>
      <c r="J128" s="12" t="n">
        <v>25.6</v>
      </c>
      <c r="K128" s="12" t="n">
        <v>3</v>
      </c>
      <c r="L128" s="12" t="n">
        <v>7.9</v>
      </c>
      <c r="M128" s="11" t="n">
        <v>82</v>
      </c>
      <c r="N128" s="12" t="n">
        <v>5.1</v>
      </c>
      <c r="O128" s="11" t="n">
        <v>1</v>
      </c>
      <c r="P128" s="11" t="n">
        <v>1</v>
      </c>
      <c r="Q128" s="11" t="n">
        <v>0</v>
      </c>
      <c r="R128" s="25" t="n">
        <v>0.9</v>
      </c>
      <c r="S128" s="25" t="n">
        <v>-1.14</v>
      </c>
    </row>
    <row r="129">
      <c r="A129" s="24" t="n">
        <v>46066</v>
      </c>
      <c r="B129" s="10" t="inlineStr">
        <is>
          <t>2026-02</t>
        </is>
      </c>
      <c r="C129" s="11" t="n">
        <v>2</v>
      </c>
      <c r="D129" s="10" t="inlineStr">
        <is>
          <t>Mùa khô</t>
        </is>
      </c>
      <c r="E129" s="12" t="n">
        <v>32.5</v>
      </c>
      <c r="F129" s="12" t="n">
        <v>23.4</v>
      </c>
      <c r="G129" s="12" t="n">
        <v>27.2</v>
      </c>
      <c r="H129" s="16" t="n">
        <v>27.37</v>
      </c>
      <c r="I129" s="12" t="n">
        <v>29.09</v>
      </c>
      <c r="J129" s="12" t="n">
        <v>25.44</v>
      </c>
      <c r="K129" s="12" t="n">
        <v>3.65</v>
      </c>
      <c r="L129" s="12" t="n">
        <v>9.1</v>
      </c>
      <c r="M129" s="11" t="n">
        <v>75</v>
      </c>
      <c r="N129" s="12" t="n">
        <v>1.2</v>
      </c>
      <c r="O129" s="11" t="n">
        <v>1</v>
      </c>
      <c r="P129" s="11" t="n">
        <v>0</v>
      </c>
      <c r="Q129" s="11" t="n">
        <v>0</v>
      </c>
      <c r="R129" s="25" t="n">
        <v>0.6</v>
      </c>
      <c r="S129" s="25" t="n">
        <v>-0.41</v>
      </c>
    </row>
    <row r="130">
      <c r="A130" s="24" t="n">
        <v>46067</v>
      </c>
      <c r="B130" s="10" t="inlineStr">
        <is>
          <t>2026-02</t>
        </is>
      </c>
      <c r="C130" s="11" t="n">
        <v>2</v>
      </c>
      <c r="D130" s="10" t="inlineStr">
        <is>
          <t>Mùa khô</t>
        </is>
      </c>
      <c r="E130" s="12" t="n">
        <v>33.2</v>
      </c>
      <c r="F130" s="12" t="n">
        <v>23.6</v>
      </c>
      <c r="G130" s="12" t="n">
        <v>27.8</v>
      </c>
      <c r="H130" s="16" t="n">
        <v>27.5</v>
      </c>
      <c r="I130" s="12" t="n">
        <v>29.7</v>
      </c>
      <c r="J130" s="12" t="n">
        <v>25.97</v>
      </c>
      <c r="K130" s="12" t="n">
        <v>3.73</v>
      </c>
      <c r="L130" s="12" t="n">
        <v>9.6</v>
      </c>
      <c r="M130" s="11" t="n">
        <v>72</v>
      </c>
      <c r="N130" s="12" t="n">
        <v>0.4</v>
      </c>
      <c r="O130" s="11" t="n">
        <v>0</v>
      </c>
      <c r="P130" s="11" t="n">
        <v>0</v>
      </c>
      <c r="Q130" s="11" t="n">
        <v>0</v>
      </c>
      <c r="R130" s="25" t="n">
        <v>0.7</v>
      </c>
      <c r="S130" s="25" t="n">
        <v>0</v>
      </c>
    </row>
    <row r="131">
      <c r="A131" s="24" t="n">
        <v>46068</v>
      </c>
      <c r="B131" s="10" t="inlineStr">
        <is>
          <t>2026-02</t>
        </is>
      </c>
      <c r="C131" s="11" t="n">
        <v>2</v>
      </c>
      <c r="D131" s="10" t="inlineStr">
        <is>
          <t>Mùa khô</t>
        </is>
      </c>
      <c r="E131" s="12" t="n">
        <v>33.8</v>
      </c>
      <c r="F131" s="12" t="n">
        <v>23.5</v>
      </c>
      <c r="G131" s="12" t="n">
        <v>28.2</v>
      </c>
      <c r="H131" s="16" t="n">
        <v>27.59</v>
      </c>
      <c r="I131" s="12" t="n">
        <v>30.07</v>
      </c>
      <c r="J131" s="12" t="n">
        <v>26.47</v>
      </c>
      <c r="K131" s="12" t="n">
        <v>3.61</v>
      </c>
      <c r="L131" s="12" t="n">
        <v>10.3</v>
      </c>
      <c r="M131" s="11" t="n">
        <v>69</v>
      </c>
      <c r="N131" s="12" t="n">
        <v>0</v>
      </c>
      <c r="O131" s="11" t="n">
        <v>0</v>
      </c>
      <c r="P131" s="11" t="n">
        <v>0</v>
      </c>
      <c r="Q131" s="11" t="n">
        <v>0</v>
      </c>
      <c r="R131" s="25" t="n">
        <v>0.6</v>
      </c>
      <c r="S131" s="25" t="n">
        <v>0.61</v>
      </c>
    </row>
    <row r="132">
      <c r="A132" s="24" t="n">
        <v>46069</v>
      </c>
      <c r="B132" s="10" t="inlineStr">
        <is>
          <t>2026-02</t>
        </is>
      </c>
      <c r="C132" s="11" t="n">
        <v>2</v>
      </c>
      <c r="D132" s="10" t="inlineStr">
        <is>
          <t>Mùa khô</t>
        </is>
      </c>
      <c r="E132" s="12" t="n">
        <v>35.7</v>
      </c>
      <c r="F132" s="12" t="n">
        <v>25</v>
      </c>
      <c r="G132" s="12" t="n">
        <v>29.5</v>
      </c>
      <c r="H132" s="16" t="n">
        <v>27.79</v>
      </c>
      <c r="I132" s="12" t="n">
        <v>31.68</v>
      </c>
      <c r="J132" s="12" t="n">
        <v>27.39</v>
      </c>
      <c r="K132" s="12" t="n">
        <v>4.29</v>
      </c>
      <c r="L132" s="12" t="n">
        <v>10.7</v>
      </c>
      <c r="M132" s="11" t="n">
        <v>54</v>
      </c>
      <c r="N132" s="12" t="n">
        <v>0.1</v>
      </c>
      <c r="O132" s="11" t="n">
        <v>0</v>
      </c>
      <c r="P132" s="11" t="n">
        <v>0</v>
      </c>
      <c r="Q132" s="11" t="n">
        <v>1</v>
      </c>
      <c r="R132" s="25" t="n">
        <v>1.9</v>
      </c>
      <c r="S132" s="25" t="n">
        <v>2.59</v>
      </c>
    </row>
    <row r="133">
      <c r="A133" s="24" t="n">
        <v>46070</v>
      </c>
      <c r="B133" s="10" t="inlineStr">
        <is>
          <t>2026-02</t>
        </is>
      </c>
      <c r="C133" s="11" t="n">
        <v>2</v>
      </c>
      <c r="D133" s="10" t="inlineStr">
        <is>
          <t>Mùa khô</t>
        </is>
      </c>
      <c r="E133" s="12" t="n">
        <v>35.7</v>
      </c>
      <c r="F133" s="12" t="n">
        <v>25.9</v>
      </c>
      <c r="G133" s="12" t="n">
        <v>29.8</v>
      </c>
      <c r="H133" s="16" t="n">
        <v>28.04</v>
      </c>
      <c r="I133" s="12" t="n">
        <v>31.97</v>
      </c>
      <c r="J133" s="12" t="n">
        <v>27.62</v>
      </c>
      <c r="K133" s="12" t="n">
        <v>4.36</v>
      </c>
      <c r="L133" s="12" t="n">
        <v>9.800000000000001</v>
      </c>
      <c r="M133" s="11" t="n">
        <v>51</v>
      </c>
      <c r="N133" s="12" t="n">
        <v>0</v>
      </c>
      <c r="O133" s="11" t="n">
        <v>0</v>
      </c>
      <c r="P133" s="11" t="n">
        <v>0</v>
      </c>
      <c r="Q133" s="11" t="n">
        <v>1</v>
      </c>
      <c r="R133" s="25" t="n">
        <v>0</v>
      </c>
      <c r="S133" s="25" t="n">
        <v>2.5</v>
      </c>
    </row>
    <row r="134">
      <c r="A134" s="24" t="n">
        <v>46071</v>
      </c>
      <c r="B134" s="10" t="inlineStr">
        <is>
          <t>2026-02</t>
        </is>
      </c>
      <c r="C134" s="11" t="n">
        <v>2</v>
      </c>
      <c r="D134" s="10" t="inlineStr">
        <is>
          <t>Mùa khô</t>
        </is>
      </c>
      <c r="E134" s="12" t="n">
        <v>35.7</v>
      </c>
      <c r="F134" s="12" t="n">
        <v>24.1</v>
      </c>
      <c r="G134" s="12" t="n">
        <v>29.4</v>
      </c>
      <c r="H134" s="16" t="n">
        <v>28.43</v>
      </c>
      <c r="I134" s="12" t="n">
        <v>31.57</v>
      </c>
      <c r="J134" s="12" t="n">
        <v>27.25</v>
      </c>
      <c r="K134" s="12" t="n">
        <v>4.32</v>
      </c>
      <c r="L134" s="12" t="n">
        <v>11.6</v>
      </c>
      <c r="M134" s="11" t="n">
        <v>55</v>
      </c>
      <c r="N134" s="12" t="n">
        <v>0.1</v>
      </c>
      <c r="O134" s="11" t="n">
        <v>0</v>
      </c>
      <c r="P134" s="11" t="n">
        <v>0</v>
      </c>
      <c r="Q134" s="11" t="n">
        <v>1</v>
      </c>
      <c r="R134" s="25" t="n">
        <v>0</v>
      </c>
      <c r="S134" s="25" t="n">
        <v>2.3</v>
      </c>
    </row>
    <row r="135">
      <c r="A135" s="24" t="n">
        <v>46072</v>
      </c>
      <c r="B135" s="10" t="inlineStr">
        <is>
          <t>2026-02</t>
        </is>
      </c>
      <c r="C135" s="11" t="n">
        <v>2</v>
      </c>
      <c r="D135" s="10" t="inlineStr">
        <is>
          <t>Mùa khô</t>
        </is>
      </c>
      <c r="E135" s="12" t="n">
        <v>34.9</v>
      </c>
      <c r="F135" s="12" t="n">
        <v>24.7</v>
      </c>
      <c r="G135" s="12" t="n">
        <v>29.5</v>
      </c>
      <c r="H135" s="16" t="n">
        <v>28.77</v>
      </c>
      <c r="I135" s="12" t="n">
        <v>31.39</v>
      </c>
      <c r="J135" s="12" t="n">
        <v>27.78</v>
      </c>
      <c r="K135" s="12" t="n">
        <v>3.62</v>
      </c>
      <c r="L135" s="12" t="n">
        <v>10.2</v>
      </c>
      <c r="M135" s="11" t="n">
        <v>57</v>
      </c>
      <c r="N135" s="12" t="n">
        <v>0</v>
      </c>
      <c r="O135" s="11" t="n">
        <v>0</v>
      </c>
      <c r="P135" s="11" t="n">
        <v>0</v>
      </c>
      <c r="Q135" s="11" t="n">
        <v>0</v>
      </c>
      <c r="R135" s="25" t="n">
        <v>-0.8</v>
      </c>
      <c r="S135" s="25" t="n">
        <v>0.83</v>
      </c>
    </row>
    <row r="136">
      <c r="A136" s="24" t="n">
        <v>46073</v>
      </c>
      <c r="B136" s="10" t="inlineStr">
        <is>
          <t>2026-02</t>
        </is>
      </c>
      <c r="C136" s="11" t="n">
        <v>2</v>
      </c>
      <c r="D136" s="10" t="inlineStr">
        <is>
          <t>Mùa khô</t>
        </is>
      </c>
      <c r="E136" s="12" t="n">
        <v>35.2</v>
      </c>
      <c r="F136" s="12" t="n">
        <v>24.7</v>
      </c>
      <c r="G136" s="12" t="n">
        <v>29.4</v>
      </c>
      <c r="H136" s="16" t="n">
        <v>29.09</v>
      </c>
      <c r="I136" s="12" t="n">
        <v>31.46</v>
      </c>
      <c r="J136" s="12" t="n">
        <v>27.38</v>
      </c>
      <c r="K136" s="12" t="n">
        <v>4.07</v>
      </c>
      <c r="L136" s="12" t="n">
        <v>10.5</v>
      </c>
      <c r="M136" s="11" t="n">
        <v>57</v>
      </c>
      <c r="N136" s="12" t="n">
        <v>0.3</v>
      </c>
      <c r="O136" s="11" t="n">
        <v>0</v>
      </c>
      <c r="P136" s="11" t="n">
        <v>0</v>
      </c>
      <c r="Q136" s="11" t="n">
        <v>0</v>
      </c>
      <c r="R136" s="25" t="n">
        <v>0.3</v>
      </c>
      <c r="S136" s="25" t="n">
        <v>0.7</v>
      </c>
    </row>
    <row r="137">
      <c r="A137" s="24" t="n">
        <v>46074</v>
      </c>
      <c r="B137" s="10" t="inlineStr">
        <is>
          <t>2026-02</t>
        </is>
      </c>
      <c r="C137" s="11" t="n">
        <v>2</v>
      </c>
      <c r="D137" s="10" t="inlineStr">
        <is>
          <t>Mùa khô</t>
        </is>
      </c>
      <c r="E137" s="12" t="n">
        <v>34.6</v>
      </c>
      <c r="F137" s="12" t="n">
        <v>23.5</v>
      </c>
      <c r="G137" s="12" t="n">
        <v>28.4</v>
      </c>
      <c r="H137" s="16" t="n">
        <v>29.17</v>
      </c>
      <c r="I137" s="12" t="n">
        <v>30.72</v>
      </c>
      <c r="J137" s="12" t="n">
        <v>26.14</v>
      </c>
      <c r="K137" s="12" t="n">
        <v>4.58</v>
      </c>
      <c r="L137" s="12" t="n">
        <v>11.1</v>
      </c>
      <c r="M137" s="11" t="n">
        <v>64</v>
      </c>
      <c r="N137" s="12" t="n">
        <v>0</v>
      </c>
      <c r="O137" s="11" t="n">
        <v>0</v>
      </c>
      <c r="P137" s="11" t="n">
        <v>0</v>
      </c>
      <c r="Q137" s="11" t="n">
        <v>0</v>
      </c>
      <c r="R137" s="25" t="n">
        <v>-0.6</v>
      </c>
      <c r="S137" s="25" t="n">
        <v>-0.29</v>
      </c>
    </row>
    <row r="138">
      <c r="A138" s="24" t="n">
        <v>46075</v>
      </c>
      <c r="B138" s="10" t="inlineStr">
        <is>
          <t>2026-02</t>
        </is>
      </c>
      <c r="C138" s="11" t="n">
        <v>2</v>
      </c>
      <c r="D138" s="10" t="inlineStr">
        <is>
          <t>Mùa khô</t>
        </is>
      </c>
      <c r="E138" s="12" t="n">
        <v>33.7</v>
      </c>
      <c r="F138" s="12" t="n">
        <v>23.9</v>
      </c>
      <c r="G138" s="12" t="n">
        <v>27.8</v>
      </c>
      <c r="H138" s="16" t="n">
        <v>29.11</v>
      </c>
      <c r="I138" s="12" t="n">
        <v>30.18</v>
      </c>
      <c r="J138" s="12" t="n">
        <v>25.57</v>
      </c>
      <c r="K138" s="12" t="n">
        <v>4.61</v>
      </c>
      <c r="L138" s="12" t="n">
        <v>9.800000000000001</v>
      </c>
      <c r="M138" s="11" t="n">
        <v>67</v>
      </c>
      <c r="N138" s="12" t="n">
        <v>0.1</v>
      </c>
      <c r="O138" s="11" t="n">
        <v>0</v>
      </c>
      <c r="P138" s="11" t="n">
        <v>0</v>
      </c>
      <c r="Q138" s="11" t="n">
        <v>0</v>
      </c>
      <c r="R138" s="25" t="n">
        <v>-0.9</v>
      </c>
      <c r="S138" s="25" t="n">
        <v>-1.39</v>
      </c>
    </row>
    <row r="139">
      <c r="A139" s="24" t="n">
        <v>46076</v>
      </c>
      <c r="B139" s="10" t="inlineStr">
        <is>
          <t>2026-02</t>
        </is>
      </c>
      <c r="C139" s="11" t="n">
        <v>2</v>
      </c>
      <c r="D139" s="10" t="inlineStr">
        <is>
          <t>Mùa khô</t>
        </is>
      </c>
      <c r="E139" s="12" t="n">
        <v>34.3</v>
      </c>
      <c r="F139" s="12" t="n">
        <v>24.5</v>
      </c>
      <c r="G139" s="12" t="n">
        <v>28.3</v>
      </c>
      <c r="H139" s="16" t="n">
        <v>28.94</v>
      </c>
      <c r="I139" s="12" t="n">
        <v>30.78</v>
      </c>
      <c r="J139" s="12" t="n">
        <v>25.87</v>
      </c>
      <c r="K139" s="12" t="n">
        <v>4.91</v>
      </c>
      <c r="L139" s="12" t="n">
        <v>9.800000000000001</v>
      </c>
      <c r="M139" s="11" t="n">
        <v>64</v>
      </c>
      <c r="N139" s="12" t="n">
        <v>0.3</v>
      </c>
      <c r="O139" s="11" t="n">
        <v>0</v>
      </c>
      <c r="P139" s="11" t="n">
        <v>0</v>
      </c>
      <c r="Q139" s="11" t="n">
        <v>0</v>
      </c>
      <c r="R139" s="25" t="n">
        <v>0.6</v>
      </c>
      <c r="S139" s="25" t="n">
        <v>-0.77</v>
      </c>
    </row>
    <row r="140">
      <c r="A140" s="24" t="n">
        <v>46077</v>
      </c>
      <c r="B140" s="10" t="inlineStr">
        <is>
          <t>2026-02</t>
        </is>
      </c>
      <c r="C140" s="11" t="n">
        <v>2</v>
      </c>
      <c r="D140" s="10" t="inlineStr">
        <is>
          <t>Mùa khô</t>
        </is>
      </c>
      <c r="E140" s="12" t="n">
        <v>34.7</v>
      </c>
      <c r="F140" s="12" t="n">
        <v>24.4</v>
      </c>
      <c r="G140" s="12" t="n">
        <v>28.2</v>
      </c>
      <c r="H140" s="16" t="n">
        <v>28.71</v>
      </c>
      <c r="I140" s="12" t="n">
        <v>30.63</v>
      </c>
      <c r="J140" s="12" t="n">
        <v>25.82</v>
      </c>
      <c r="K140" s="12" t="n">
        <v>4.81</v>
      </c>
      <c r="L140" s="12" t="n">
        <v>10.3</v>
      </c>
      <c r="M140" s="11" t="n">
        <v>64</v>
      </c>
      <c r="N140" s="12" t="n">
        <v>0</v>
      </c>
      <c r="O140" s="11" t="n">
        <v>0</v>
      </c>
      <c r="P140" s="11" t="n">
        <v>0</v>
      </c>
      <c r="Q140" s="11" t="n">
        <v>0</v>
      </c>
      <c r="R140" s="25" t="n">
        <v>0.4</v>
      </c>
      <c r="S140" s="25" t="n">
        <v>-0.17</v>
      </c>
    </row>
    <row r="141">
      <c r="A141" s="24" t="n">
        <v>46078</v>
      </c>
      <c r="B141" s="10" t="inlineStr">
        <is>
          <t>2026-02</t>
        </is>
      </c>
      <c r="C141" s="11" t="n">
        <v>2</v>
      </c>
      <c r="D141" s="10" t="inlineStr">
        <is>
          <t>Mùa khô</t>
        </is>
      </c>
      <c r="E141" s="12" t="n">
        <v>34.5</v>
      </c>
      <c r="F141" s="12" t="n">
        <v>24.4</v>
      </c>
      <c r="G141" s="12" t="n">
        <v>28.2</v>
      </c>
      <c r="H141" s="16" t="n">
        <v>28.54</v>
      </c>
      <c r="I141" s="12" t="n">
        <v>30.49</v>
      </c>
      <c r="J141" s="12" t="n">
        <v>26.03</v>
      </c>
      <c r="K141" s="12" t="n">
        <v>4.46</v>
      </c>
      <c r="L141" s="12" t="n">
        <v>10.1</v>
      </c>
      <c r="M141" s="11" t="n">
        <v>66</v>
      </c>
      <c r="N141" s="12" t="n">
        <v>0</v>
      </c>
      <c r="O141" s="11" t="n">
        <v>0</v>
      </c>
      <c r="P141" s="11" t="n">
        <v>1</v>
      </c>
      <c r="Q141" s="11" t="n">
        <v>0</v>
      </c>
      <c r="R141" s="25" t="n">
        <v>-0.2</v>
      </c>
      <c r="S141" s="25" t="n">
        <v>-0.23</v>
      </c>
    </row>
    <row r="142">
      <c r="A142" s="24" t="n">
        <v>46079</v>
      </c>
      <c r="B142" s="10" t="inlineStr">
        <is>
          <t>2026-02</t>
        </is>
      </c>
      <c r="C142" s="11" t="n">
        <v>2</v>
      </c>
      <c r="D142" s="10" t="inlineStr">
        <is>
          <t>Mùa khô</t>
        </is>
      </c>
      <c r="E142" s="12" t="n">
        <v>26.4</v>
      </c>
      <c r="F142" s="12" t="n">
        <v>23.6</v>
      </c>
      <c r="G142" s="12" t="n">
        <v>24.8</v>
      </c>
      <c r="H142" s="16" t="n">
        <v>27.87</v>
      </c>
      <c r="I142" s="12" t="n">
        <v>24.57</v>
      </c>
      <c r="J142" s="12" t="n">
        <v>25.11</v>
      </c>
      <c r="K142" s="12" t="n">
        <v>-0.54</v>
      </c>
      <c r="L142" s="12" t="n">
        <v>2.8</v>
      </c>
      <c r="M142" s="11" t="n">
        <v>91</v>
      </c>
      <c r="N142" s="12" t="n">
        <v>31.1</v>
      </c>
      <c r="O142" s="11" t="n">
        <v>1</v>
      </c>
      <c r="P142" s="11" t="n">
        <v>1</v>
      </c>
      <c r="Q142" s="11" t="n">
        <v>0</v>
      </c>
      <c r="R142" s="25" t="n">
        <v>-8.1</v>
      </c>
      <c r="S142" s="25" t="n">
        <v>-8.16</v>
      </c>
    </row>
    <row r="143">
      <c r="A143" s="24" t="n">
        <v>46080</v>
      </c>
      <c r="B143" s="10" t="inlineStr">
        <is>
          <t>2026-02</t>
        </is>
      </c>
      <c r="C143" s="11" t="n">
        <v>2</v>
      </c>
      <c r="D143" s="10" t="inlineStr">
        <is>
          <t>Mùa khô</t>
        </is>
      </c>
      <c r="E143" s="12" t="n">
        <v>29.8</v>
      </c>
      <c r="F143" s="12" t="n">
        <v>24</v>
      </c>
      <c r="G143" s="12" t="n">
        <v>25.7</v>
      </c>
      <c r="H143" s="16" t="n">
        <v>27.34</v>
      </c>
      <c r="I143" s="12" t="n">
        <v>27.04</v>
      </c>
      <c r="J143" s="12" t="n">
        <v>24.42</v>
      </c>
      <c r="K143" s="12" t="n">
        <v>2.63</v>
      </c>
      <c r="L143" s="12" t="n">
        <v>5.8</v>
      </c>
      <c r="M143" s="11" t="n">
        <v>88</v>
      </c>
      <c r="N143" s="12" t="n">
        <v>21.5</v>
      </c>
      <c r="O143" s="11" t="n">
        <v>1</v>
      </c>
      <c r="P143" s="11" t="n">
        <v>1</v>
      </c>
      <c r="Q143" s="11" t="n">
        <v>1</v>
      </c>
      <c r="R143" s="25" t="n">
        <v>3.4</v>
      </c>
      <c r="S143" s="25" t="n">
        <v>-3.54</v>
      </c>
    </row>
    <row r="144">
      <c r="A144" s="24" t="n">
        <v>46081</v>
      </c>
      <c r="B144" s="10" t="inlineStr">
        <is>
          <t>2026-02</t>
        </is>
      </c>
      <c r="C144" s="11" t="n">
        <v>2</v>
      </c>
      <c r="D144" s="10" t="inlineStr">
        <is>
          <t>Mùa khô</t>
        </is>
      </c>
      <c r="E144" s="12" t="n">
        <v>31.3</v>
      </c>
      <c r="F144" s="12" t="n">
        <v>23.4</v>
      </c>
      <c r="G144" s="12" t="n">
        <v>26.7</v>
      </c>
      <c r="H144" s="16" t="n">
        <v>27.1</v>
      </c>
      <c r="I144" s="12" t="n">
        <v>28.39</v>
      </c>
      <c r="J144" s="12" t="n">
        <v>24.97</v>
      </c>
      <c r="K144" s="12" t="n">
        <v>3.42</v>
      </c>
      <c r="L144" s="12" t="n">
        <v>7.9</v>
      </c>
      <c r="M144" s="11" t="n">
        <v>84</v>
      </c>
      <c r="N144" s="12" t="n">
        <v>1.5</v>
      </c>
      <c r="O144" s="11" t="n">
        <v>1</v>
      </c>
      <c r="P144" s="11" t="n">
        <v>0</v>
      </c>
      <c r="Q144" s="11" t="n">
        <v>0</v>
      </c>
      <c r="R144" s="25" t="n">
        <v>1.5</v>
      </c>
      <c r="S144" s="25" t="n">
        <v>-1.27</v>
      </c>
    </row>
    <row r="145">
      <c r="A145" s="24" t="n">
        <v>46082</v>
      </c>
      <c r="B145" s="10" t="inlineStr">
        <is>
          <t>2026-03</t>
        </is>
      </c>
      <c r="C145" s="11" t="n">
        <v>3</v>
      </c>
      <c r="D145" s="10" t="inlineStr">
        <is>
          <t>Mùa khô</t>
        </is>
      </c>
      <c r="E145" s="12" t="n">
        <v>32.2</v>
      </c>
      <c r="F145" s="12" t="n">
        <v>24.3</v>
      </c>
      <c r="G145" s="12" t="n">
        <v>27.6</v>
      </c>
      <c r="H145" s="16" t="n">
        <v>27.07</v>
      </c>
      <c r="I145" s="12" t="n">
        <v>29.43</v>
      </c>
      <c r="J145" s="12" t="n">
        <v>25.77</v>
      </c>
      <c r="K145" s="12" t="n">
        <v>3.67</v>
      </c>
      <c r="L145" s="12" t="n">
        <v>7.9</v>
      </c>
      <c r="M145" s="11" t="n">
        <v>80</v>
      </c>
      <c r="N145" s="12" t="n">
        <v>0</v>
      </c>
      <c r="O145" s="11" t="n">
        <v>0</v>
      </c>
      <c r="P145" s="11" t="n">
        <v>0</v>
      </c>
      <c r="Q145" s="11" t="n">
        <v>0</v>
      </c>
      <c r="R145" s="25" t="n">
        <v>0.9</v>
      </c>
      <c r="S145" s="25" t="n">
        <v>0.1</v>
      </c>
    </row>
    <row r="146">
      <c r="A146" s="24" t="n">
        <v>46083</v>
      </c>
      <c r="B146" s="10" t="inlineStr">
        <is>
          <t>2026-03</t>
        </is>
      </c>
      <c r="C146" s="11" t="n">
        <v>3</v>
      </c>
      <c r="D146" s="10" t="inlineStr">
        <is>
          <t>Mùa khô</t>
        </is>
      </c>
      <c r="E146" s="12" t="n">
        <v>32.4</v>
      </c>
      <c r="F146" s="12" t="n">
        <v>24.8</v>
      </c>
      <c r="G146" s="12" t="n">
        <v>27.8</v>
      </c>
      <c r="H146" s="16" t="n">
        <v>27</v>
      </c>
      <c r="I146" s="12" t="n">
        <v>29.72</v>
      </c>
      <c r="J146" s="12" t="n">
        <v>25.93</v>
      </c>
      <c r="K146" s="12" t="n">
        <v>3.78</v>
      </c>
      <c r="L146" s="12" t="n">
        <v>7.6</v>
      </c>
      <c r="M146" s="11" t="n">
        <v>80</v>
      </c>
      <c r="N146" s="12" t="n">
        <v>0.1</v>
      </c>
      <c r="O146" s="11" t="n">
        <v>0</v>
      </c>
      <c r="P146" s="11" t="n">
        <v>0</v>
      </c>
      <c r="Q146" s="11" t="n">
        <v>0</v>
      </c>
      <c r="R146" s="25" t="n">
        <v>0.2</v>
      </c>
      <c r="S146" s="25" t="n">
        <v>0.51</v>
      </c>
    </row>
    <row r="147">
      <c r="A147" s="24" t="n">
        <v>46084</v>
      </c>
      <c r="B147" s="10" t="inlineStr">
        <is>
          <t>2026-03</t>
        </is>
      </c>
      <c r="C147" s="11" t="n">
        <v>3</v>
      </c>
      <c r="D147" s="10" t="inlineStr">
        <is>
          <t>Mùa khô</t>
        </is>
      </c>
      <c r="E147" s="12" t="n">
        <v>32.5</v>
      </c>
      <c r="F147" s="12" t="n">
        <v>25.1</v>
      </c>
      <c r="G147" s="12" t="n">
        <v>28.2</v>
      </c>
      <c r="H147" s="16" t="n">
        <v>27</v>
      </c>
      <c r="I147" s="12" t="n">
        <v>30.02</v>
      </c>
      <c r="J147" s="12" t="n">
        <v>26.33</v>
      </c>
      <c r="K147" s="12" t="n">
        <v>3.68</v>
      </c>
      <c r="L147" s="12" t="n">
        <v>7.4</v>
      </c>
      <c r="M147" s="11" t="n">
        <v>78</v>
      </c>
      <c r="N147" s="12" t="n">
        <v>0.3</v>
      </c>
      <c r="O147" s="11" t="n">
        <v>0</v>
      </c>
      <c r="P147" s="11" t="n">
        <v>0</v>
      </c>
      <c r="Q147" s="11" t="n">
        <v>0</v>
      </c>
      <c r="R147" s="25" t="n">
        <v>0.1</v>
      </c>
      <c r="S147" s="25" t="n">
        <v>0.89</v>
      </c>
    </row>
    <row r="148">
      <c r="A148" s="24" t="n">
        <v>46085</v>
      </c>
      <c r="B148" s="10" t="inlineStr">
        <is>
          <t>2026-03</t>
        </is>
      </c>
      <c r="C148" s="11" t="n">
        <v>3</v>
      </c>
      <c r="D148" s="10" t="inlineStr">
        <is>
          <t>Mùa khô</t>
        </is>
      </c>
      <c r="E148" s="12" t="n">
        <v>32.2</v>
      </c>
      <c r="F148" s="12" t="n">
        <v>24.9</v>
      </c>
      <c r="G148" s="12" t="n">
        <v>27.8</v>
      </c>
      <c r="H148" s="16" t="n">
        <v>26.94</v>
      </c>
      <c r="I148" s="12" t="n">
        <v>29.49</v>
      </c>
      <c r="J148" s="12" t="n">
        <v>26.13</v>
      </c>
      <c r="K148" s="12" t="n">
        <v>3.37</v>
      </c>
      <c r="L148" s="12" t="n">
        <v>7.3</v>
      </c>
      <c r="M148" s="11" t="n">
        <v>80</v>
      </c>
      <c r="N148" s="12" t="n">
        <v>0.3</v>
      </c>
      <c r="O148" s="11" t="n">
        <v>0</v>
      </c>
      <c r="P148" s="11" t="n">
        <v>1</v>
      </c>
      <c r="Q148" s="11" t="n">
        <v>0</v>
      </c>
      <c r="R148" s="25" t="n">
        <v>-0.3</v>
      </c>
      <c r="S148" s="25" t="n">
        <v>0.9</v>
      </c>
    </row>
    <row r="149">
      <c r="A149" s="24" t="n">
        <v>46086</v>
      </c>
      <c r="B149" s="10" t="inlineStr">
        <is>
          <t>2026-03</t>
        </is>
      </c>
      <c r="C149" s="11" t="n">
        <v>3</v>
      </c>
      <c r="D149" s="10" t="inlineStr">
        <is>
          <t>Mùa khô</t>
        </is>
      </c>
      <c r="E149" s="12" t="n">
        <v>32.5</v>
      </c>
      <c r="F149" s="12" t="n">
        <v>24.7</v>
      </c>
      <c r="G149" s="12" t="n">
        <v>27.7</v>
      </c>
      <c r="H149" s="16" t="n">
        <v>27.36</v>
      </c>
      <c r="I149" s="12" t="n">
        <v>29.63</v>
      </c>
      <c r="J149" s="12" t="n">
        <v>25.72</v>
      </c>
      <c r="K149" s="12" t="n">
        <v>3.91</v>
      </c>
      <c r="L149" s="12" t="n">
        <v>7.8</v>
      </c>
      <c r="M149" s="11" t="n">
        <v>77</v>
      </c>
      <c r="N149" s="12" t="n">
        <v>2.1</v>
      </c>
      <c r="O149" s="11" t="n">
        <v>1</v>
      </c>
      <c r="P149" s="11" t="n">
        <v>1</v>
      </c>
      <c r="Q149" s="11" t="n">
        <v>0</v>
      </c>
      <c r="R149" s="25" t="n">
        <v>0.3</v>
      </c>
      <c r="S149" s="25" t="n">
        <v>1.53</v>
      </c>
    </row>
    <row r="150">
      <c r="A150" s="24" t="n">
        <v>46087</v>
      </c>
      <c r="B150" s="10" t="inlineStr">
        <is>
          <t>2026-03</t>
        </is>
      </c>
      <c r="C150" s="11" t="n">
        <v>3</v>
      </c>
      <c r="D150" s="10" t="inlineStr">
        <is>
          <t>Mùa khô</t>
        </is>
      </c>
      <c r="E150" s="12" t="n">
        <v>31.9</v>
      </c>
      <c r="F150" s="12" t="n">
        <v>23.1</v>
      </c>
      <c r="G150" s="12" t="n">
        <v>26.2</v>
      </c>
      <c r="H150" s="16" t="n">
        <v>27.43</v>
      </c>
      <c r="I150" s="12" t="n">
        <v>28.38</v>
      </c>
      <c r="J150" s="12" t="n">
        <v>24.13</v>
      </c>
      <c r="K150" s="12" t="n">
        <v>4.24</v>
      </c>
      <c r="L150" s="12" t="n">
        <v>8.800000000000001</v>
      </c>
      <c r="M150" s="11" t="n">
        <v>83</v>
      </c>
      <c r="N150" s="12" t="n">
        <v>6</v>
      </c>
      <c r="O150" s="11" t="n">
        <v>1</v>
      </c>
      <c r="P150" s="11" t="n">
        <v>1</v>
      </c>
      <c r="Q150" s="11" t="n">
        <v>0</v>
      </c>
      <c r="R150" s="25" t="n">
        <v>-0.6</v>
      </c>
      <c r="S150" s="25" t="n">
        <v>0.06</v>
      </c>
    </row>
    <row r="151">
      <c r="A151" s="24" t="n">
        <v>46088</v>
      </c>
      <c r="B151" s="10" t="inlineStr">
        <is>
          <t>2026-03</t>
        </is>
      </c>
      <c r="C151" s="11" t="n">
        <v>3</v>
      </c>
      <c r="D151" s="10" t="inlineStr">
        <is>
          <t>Mùa khô</t>
        </is>
      </c>
      <c r="E151" s="12" t="n">
        <v>31.8</v>
      </c>
      <c r="F151" s="12" t="n">
        <v>23</v>
      </c>
      <c r="G151" s="12" t="n">
        <v>26.3</v>
      </c>
      <c r="H151" s="16" t="n">
        <v>27.37</v>
      </c>
      <c r="I151" s="12" t="n">
        <v>28.41</v>
      </c>
      <c r="J151" s="12" t="n">
        <v>24.22</v>
      </c>
      <c r="K151" s="12" t="n">
        <v>4.18</v>
      </c>
      <c r="L151" s="12" t="n">
        <v>8.800000000000001</v>
      </c>
      <c r="M151" s="11" t="n">
        <v>82</v>
      </c>
      <c r="N151" s="12" t="n">
        <v>2</v>
      </c>
      <c r="O151" s="11" t="n">
        <v>1</v>
      </c>
      <c r="P151" s="11" t="n">
        <v>0</v>
      </c>
      <c r="Q151" s="11" t="n">
        <v>0</v>
      </c>
      <c r="R151" s="25" t="n">
        <v>-0.1</v>
      </c>
      <c r="S151" s="25" t="n">
        <v>-0.34</v>
      </c>
    </row>
    <row r="152">
      <c r="A152" s="24" t="n">
        <v>46089</v>
      </c>
      <c r="B152" s="10" t="inlineStr">
        <is>
          <t>2026-03</t>
        </is>
      </c>
      <c r="C152" s="11" t="n">
        <v>3</v>
      </c>
      <c r="D152" s="10" t="inlineStr">
        <is>
          <t>Mùa khô</t>
        </is>
      </c>
      <c r="E152" s="12" t="n">
        <v>32.5</v>
      </c>
      <c r="F152" s="12" t="n">
        <v>23.1</v>
      </c>
      <c r="G152" s="12" t="n">
        <v>27.2</v>
      </c>
      <c r="H152" s="16" t="n">
        <v>27.31</v>
      </c>
      <c r="I152" s="12" t="n">
        <v>29.07</v>
      </c>
      <c r="J152" s="12" t="n">
        <v>25.32</v>
      </c>
      <c r="K152" s="12" t="n">
        <v>3.75</v>
      </c>
      <c r="L152" s="12" t="n">
        <v>9.4</v>
      </c>
      <c r="M152" s="11" t="n">
        <v>73</v>
      </c>
      <c r="N152" s="12" t="n">
        <v>0.1</v>
      </c>
      <c r="O152" s="11" t="n">
        <v>0</v>
      </c>
      <c r="P152" s="11" t="n">
        <v>1</v>
      </c>
      <c r="Q152" s="11" t="n">
        <v>0</v>
      </c>
      <c r="R152" s="25" t="n">
        <v>0.7</v>
      </c>
      <c r="S152" s="25" t="n">
        <v>0.29</v>
      </c>
    </row>
    <row r="153">
      <c r="A153" s="24" t="n">
        <v>46090</v>
      </c>
      <c r="B153" s="10" t="inlineStr">
        <is>
          <t>2026-03</t>
        </is>
      </c>
      <c r="C153" s="11" t="n">
        <v>3</v>
      </c>
      <c r="D153" s="10" t="inlineStr">
        <is>
          <t>Mùa khô</t>
        </is>
      </c>
      <c r="E153" s="12" t="n">
        <v>32.8</v>
      </c>
      <c r="F153" s="12" t="n">
        <v>23.3</v>
      </c>
      <c r="G153" s="12" t="n">
        <v>27.3</v>
      </c>
      <c r="H153" s="16" t="n">
        <v>27.24</v>
      </c>
      <c r="I153" s="12" t="n">
        <v>29.39</v>
      </c>
      <c r="J153" s="12" t="n">
        <v>25.2</v>
      </c>
      <c r="K153" s="12" t="n">
        <v>4.19</v>
      </c>
      <c r="L153" s="12" t="n">
        <v>9.5</v>
      </c>
      <c r="M153" s="11" t="n">
        <v>78</v>
      </c>
      <c r="N153" s="12" t="n">
        <v>6.2</v>
      </c>
      <c r="O153" s="11" t="n">
        <v>1</v>
      </c>
      <c r="P153" s="11" t="n">
        <v>0</v>
      </c>
      <c r="Q153" s="11" t="n">
        <v>0</v>
      </c>
      <c r="R153" s="25" t="n">
        <v>0.3</v>
      </c>
      <c r="S153" s="25" t="n">
        <v>0.54</v>
      </c>
    </row>
    <row r="154">
      <c r="A154" s="24" t="n">
        <v>46091</v>
      </c>
      <c r="B154" s="10" t="inlineStr">
        <is>
          <t>2026-03</t>
        </is>
      </c>
      <c r="C154" s="11" t="n">
        <v>3</v>
      </c>
      <c r="D154" s="10" t="inlineStr">
        <is>
          <t>Mùa khô</t>
        </is>
      </c>
      <c r="E154" s="12" t="n">
        <v>33.4</v>
      </c>
      <c r="F154" s="12" t="n">
        <v>23.9</v>
      </c>
      <c r="G154" s="12" t="n">
        <v>27.8</v>
      </c>
      <c r="H154" s="16" t="n">
        <v>27.19</v>
      </c>
      <c r="I154" s="12" t="n">
        <v>30.09</v>
      </c>
      <c r="J154" s="12" t="n">
        <v>25.48</v>
      </c>
      <c r="K154" s="12" t="n">
        <v>4.61</v>
      </c>
      <c r="L154" s="12" t="n">
        <v>9.5</v>
      </c>
      <c r="M154" s="11" t="n">
        <v>75</v>
      </c>
      <c r="N154" s="12" t="n">
        <v>0.8</v>
      </c>
      <c r="O154" s="11" t="n">
        <v>0</v>
      </c>
      <c r="P154" s="11" t="n">
        <v>0</v>
      </c>
      <c r="Q154" s="11" t="n">
        <v>0</v>
      </c>
      <c r="R154" s="25" t="n">
        <v>0.6</v>
      </c>
      <c r="S154" s="25" t="n">
        <v>1.09</v>
      </c>
    </row>
    <row r="155">
      <c r="A155" s="24" t="n">
        <v>46092</v>
      </c>
      <c r="B155" s="10" t="inlineStr">
        <is>
          <t>2026-03</t>
        </is>
      </c>
      <c r="C155" s="11" t="n">
        <v>3</v>
      </c>
      <c r="D155" s="10" t="inlineStr">
        <is>
          <t>Mùa khô</t>
        </is>
      </c>
      <c r="E155" s="12" t="n">
        <v>34.2</v>
      </c>
      <c r="F155" s="12" t="n">
        <v>23.7</v>
      </c>
      <c r="G155" s="12" t="n">
        <v>28.2</v>
      </c>
      <c r="H155" s="16" t="n">
        <v>27.24</v>
      </c>
      <c r="I155" s="12" t="n">
        <v>30.3</v>
      </c>
      <c r="J155" s="12" t="n">
        <v>26.21</v>
      </c>
      <c r="K155" s="12" t="n">
        <v>4.09</v>
      </c>
      <c r="L155" s="12" t="n">
        <v>10.5</v>
      </c>
      <c r="M155" s="11" t="n">
        <v>68</v>
      </c>
      <c r="N155" s="12" t="n">
        <v>0</v>
      </c>
      <c r="O155" s="11" t="n">
        <v>0</v>
      </c>
      <c r="P155" s="11" t="n">
        <v>0</v>
      </c>
      <c r="Q155" s="11" t="n">
        <v>0</v>
      </c>
      <c r="R155" s="25" t="n">
        <v>0.8</v>
      </c>
      <c r="S155" s="25" t="n">
        <v>1.76</v>
      </c>
    </row>
    <row r="156">
      <c r="A156" s="24" t="n">
        <v>46093</v>
      </c>
      <c r="B156" s="10" t="inlineStr">
        <is>
          <t>2026-03</t>
        </is>
      </c>
      <c r="C156" s="11" t="n">
        <v>3</v>
      </c>
      <c r="D156" s="10" t="inlineStr">
        <is>
          <t>Mùa khô</t>
        </is>
      </c>
      <c r="E156" s="12" t="n">
        <v>34.6</v>
      </c>
      <c r="F156" s="12" t="n">
        <v>25.3</v>
      </c>
      <c r="G156" s="12" t="n">
        <v>28.7</v>
      </c>
      <c r="H156" s="16" t="n">
        <v>27.39</v>
      </c>
      <c r="I156" s="12" t="n">
        <v>30.91</v>
      </c>
      <c r="J156" s="12" t="n">
        <v>26.61</v>
      </c>
      <c r="K156" s="12" t="n">
        <v>4.3</v>
      </c>
      <c r="L156" s="12" t="n">
        <v>9.300000000000001</v>
      </c>
      <c r="M156" s="11" t="n">
        <v>60</v>
      </c>
      <c r="N156" s="12" t="n">
        <v>0.3</v>
      </c>
      <c r="O156" s="11" t="n">
        <v>0</v>
      </c>
      <c r="P156" s="11" t="n">
        <v>1</v>
      </c>
      <c r="Q156" s="11" t="n">
        <v>0</v>
      </c>
      <c r="R156" s="25" t="n">
        <v>0.4</v>
      </c>
      <c r="S156" s="25" t="n">
        <v>1.87</v>
      </c>
    </row>
    <row r="157">
      <c r="A157" s="24" t="n">
        <v>46094</v>
      </c>
      <c r="B157" s="10" t="inlineStr">
        <is>
          <t>2026-03</t>
        </is>
      </c>
      <c r="C157" s="11" t="n">
        <v>3</v>
      </c>
      <c r="D157" s="10" t="inlineStr">
        <is>
          <t>Mùa khô</t>
        </is>
      </c>
      <c r="E157" s="12" t="n">
        <v>34.8</v>
      </c>
      <c r="F157" s="12" t="n">
        <v>24.5</v>
      </c>
      <c r="G157" s="12" t="n">
        <v>28.6</v>
      </c>
      <c r="H157" s="16" t="n">
        <v>27.73</v>
      </c>
      <c r="I157" s="12" t="n">
        <v>30.97</v>
      </c>
      <c r="J157" s="12" t="n">
        <v>26.31</v>
      </c>
      <c r="K157" s="12" t="n">
        <v>4.67</v>
      </c>
      <c r="L157" s="12" t="n">
        <v>10.3</v>
      </c>
      <c r="M157" s="11" t="n">
        <v>57</v>
      </c>
      <c r="N157" s="12" t="n">
        <v>1.5</v>
      </c>
      <c r="O157" s="11" t="n">
        <v>1</v>
      </c>
      <c r="P157" s="11" t="n">
        <v>1</v>
      </c>
      <c r="Q157" s="11" t="n">
        <v>0</v>
      </c>
      <c r="R157" s="25" t="n">
        <v>0.2</v>
      </c>
      <c r="S157" s="25" t="n">
        <v>1.77</v>
      </c>
    </row>
    <row r="158">
      <c r="A158" s="24" t="n">
        <v>46095</v>
      </c>
      <c r="B158" s="10" t="inlineStr">
        <is>
          <t>2026-03</t>
        </is>
      </c>
      <c r="C158" s="11" t="n">
        <v>3</v>
      </c>
      <c r="D158" s="10" t="inlineStr">
        <is>
          <t>Mùa khô</t>
        </is>
      </c>
      <c r="E158" s="12" t="n">
        <v>32.3</v>
      </c>
      <c r="F158" s="12" t="n">
        <v>24.6</v>
      </c>
      <c r="G158" s="12" t="n">
        <v>27.7</v>
      </c>
      <c r="H158" s="16" t="n">
        <v>27.93</v>
      </c>
      <c r="I158" s="12" t="n">
        <v>29.49</v>
      </c>
      <c r="J158" s="12" t="n">
        <v>25.92</v>
      </c>
      <c r="K158" s="12" t="n">
        <v>3.57</v>
      </c>
      <c r="L158" s="12" t="n">
        <v>7.7</v>
      </c>
      <c r="M158" s="11" t="n">
        <v>69</v>
      </c>
      <c r="N158" s="12" t="n">
        <v>1</v>
      </c>
      <c r="O158" s="11" t="n">
        <v>1</v>
      </c>
      <c r="P158" s="11" t="n">
        <v>1</v>
      </c>
      <c r="Q158" s="11" t="n">
        <v>0</v>
      </c>
      <c r="R158" s="25" t="n">
        <v>-2.5</v>
      </c>
      <c r="S158" s="25" t="n">
        <v>-1.14</v>
      </c>
    </row>
    <row r="159">
      <c r="A159" s="24" t="n">
        <v>46096</v>
      </c>
      <c r="B159" s="10" t="inlineStr">
        <is>
          <t>2026-03</t>
        </is>
      </c>
      <c r="C159" s="11" t="n">
        <v>3</v>
      </c>
      <c r="D159" s="10" t="inlineStr">
        <is>
          <t>Mùa khô</t>
        </is>
      </c>
      <c r="E159" s="12" t="n">
        <v>34.1</v>
      </c>
      <c r="F159" s="12" t="n">
        <v>23.6</v>
      </c>
      <c r="G159" s="12" t="n">
        <v>28.1</v>
      </c>
      <c r="H159" s="16" t="n">
        <v>28.06</v>
      </c>
      <c r="I159" s="12" t="n">
        <v>30.18</v>
      </c>
      <c r="J159" s="12" t="n">
        <v>26.02</v>
      </c>
      <c r="K159" s="12" t="n">
        <v>4.17</v>
      </c>
      <c r="L159" s="12" t="n">
        <v>10.5</v>
      </c>
      <c r="M159" s="11" t="n">
        <v>66</v>
      </c>
      <c r="N159" s="12" t="n">
        <v>1.2</v>
      </c>
      <c r="O159" s="11" t="n">
        <v>1</v>
      </c>
      <c r="P159" s="11" t="n">
        <v>0</v>
      </c>
      <c r="Q159" s="11" t="n">
        <v>0</v>
      </c>
      <c r="R159" s="25" t="n">
        <v>1.8</v>
      </c>
      <c r="S159" s="25" t="n">
        <v>0.59</v>
      </c>
    </row>
    <row r="160">
      <c r="A160" s="24" t="n">
        <v>46097</v>
      </c>
      <c r="B160" s="10" t="inlineStr">
        <is>
          <t>2026-03</t>
        </is>
      </c>
      <c r="C160" s="11" t="n">
        <v>3</v>
      </c>
      <c r="D160" s="10" t="inlineStr">
        <is>
          <t>Mùa khô</t>
        </is>
      </c>
      <c r="E160" s="12" t="n">
        <v>33.5</v>
      </c>
      <c r="F160" s="12" t="n">
        <v>24</v>
      </c>
      <c r="G160" s="12" t="n">
        <v>28.2</v>
      </c>
      <c r="H160" s="16" t="n">
        <v>28.19</v>
      </c>
      <c r="I160" s="12" t="n">
        <v>30.43</v>
      </c>
      <c r="J160" s="12" t="n">
        <v>26.08</v>
      </c>
      <c r="K160" s="12" t="n">
        <v>4.35</v>
      </c>
      <c r="L160" s="12" t="n">
        <v>9.5</v>
      </c>
      <c r="M160" s="11" t="n">
        <v>63</v>
      </c>
      <c r="N160" s="12" t="n">
        <v>0.2</v>
      </c>
      <c r="O160" s="11" t="n">
        <v>0</v>
      </c>
      <c r="P160" s="11" t="n">
        <v>0</v>
      </c>
      <c r="Q160" s="11" t="n">
        <v>0</v>
      </c>
      <c r="R160" s="25" t="n">
        <v>-0.6</v>
      </c>
      <c r="S160" s="25" t="n">
        <v>-0.24</v>
      </c>
    </row>
    <row r="161">
      <c r="A161" s="24" t="n">
        <v>46098</v>
      </c>
      <c r="B161" s="10" t="inlineStr">
        <is>
          <t>2026-03</t>
        </is>
      </c>
      <c r="C161" s="11" t="n">
        <v>3</v>
      </c>
      <c r="D161" s="10" t="inlineStr">
        <is>
          <t>Mùa khô</t>
        </is>
      </c>
      <c r="E161" s="12" t="n">
        <v>34.6</v>
      </c>
      <c r="F161" s="12" t="n">
        <v>24</v>
      </c>
      <c r="G161" s="12" t="n">
        <v>27.9</v>
      </c>
      <c r="H161" s="16" t="n">
        <v>28.2</v>
      </c>
      <c r="I161" s="12" t="n">
        <v>30.36</v>
      </c>
      <c r="J161" s="12" t="n">
        <v>25.5</v>
      </c>
      <c r="K161" s="12" t="n">
        <v>4.86</v>
      </c>
      <c r="L161" s="12" t="n">
        <v>10.6</v>
      </c>
      <c r="M161" s="11" t="n">
        <v>64</v>
      </c>
      <c r="N161" s="12" t="n">
        <v>0.1</v>
      </c>
      <c r="O161" s="11" t="n">
        <v>0</v>
      </c>
      <c r="P161" s="11" t="n">
        <v>0</v>
      </c>
      <c r="Q161" s="11" t="n">
        <v>0</v>
      </c>
      <c r="R161" s="25" t="n">
        <v>1.1</v>
      </c>
      <c r="S161" s="25" t="n">
        <v>0.76</v>
      </c>
    </row>
    <row r="162">
      <c r="A162" s="24" t="n">
        <v>46099</v>
      </c>
      <c r="B162" s="10" t="inlineStr">
        <is>
          <t>2026-03</t>
        </is>
      </c>
      <c r="C162" s="11" t="n">
        <v>3</v>
      </c>
      <c r="D162" s="10" t="inlineStr">
        <is>
          <t>Mùa khô</t>
        </is>
      </c>
      <c r="E162" s="12" t="n">
        <v>34.6</v>
      </c>
      <c r="F162" s="12" t="n">
        <v>23.8</v>
      </c>
      <c r="G162" s="12" t="n">
        <v>27.9</v>
      </c>
      <c r="H162" s="16" t="n">
        <v>28.16</v>
      </c>
      <c r="I162" s="12" t="n">
        <v>30.5</v>
      </c>
      <c r="J162" s="12" t="n">
        <v>25.44</v>
      </c>
      <c r="K162" s="12" t="n">
        <v>5.06</v>
      </c>
      <c r="L162" s="12" t="n">
        <v>10.8</v>
      </c>
      <c r="M162" s="11" t="n">
        <v>63</v>
      </c>
      <c r="N162" s="12" t="n">
        <v>0</v>
      </c>
      <c r="O162" s="11" t="n">
        <v>0</v>
      </c>
      <c r="P162" s="11" t="n">
        <v>0</v>
      </c>
      <c r="Q162" s="11" t="n">
        <v>0</v>
      </c>
      <c r="R162" s="25" t="n">
        <v>0</v>
      </c>
      <c r="S162" s="25" t="n">
        <v>0.59</v>
      </c>
    </row>
    <row r="163">
      <c r="A163" s="24" t="n">
        <v>46100</v>
      </c>
      <c r="B163" s="10" t="inlineStr">
        <is>
          <t>2026-03</t>
        </is>
      </c>
      <c r="C163" s="11" t="n">
        <v>3</v>
      </c>
      <c r="D163" s="10" t="inlineStr">
        <is>
          <t>Mùa khô</t>
        </is>
      </c>
      <c r="E163" s="12" t="n">
        <v>33.2</v>
      </c>
      <c r="F163" s="12" t="n">
        <v>23.9</v>
      </c>
      <c r="G163" s="12" t="n">
        <v>27.8</v>
      </c>
      <c r="H163" s="16" t="n">
        <v>28.03</v>
      </c>
      <c r="I163" s="12" t="n">
        <v>29.99</v>
      </c>
      <c r="J163" s="12" t="n">
        <v>25.67</v>
      </c>
      <c r="K163" s="12" t="n">
        <v>4.33</v>
      </c>
      <c r="L163" s="12" t="n">
        <v>9.300000000000001</v>
      </c>
      <c r="M163" s="11" t="n">
        <v>66</v>
      </c>
      <c r="N163" s="12" t="n">
        <v>0</v>
      </c>
      <c r="O163" s="11" t="n">
        <v>0</v>
      </c>
      <c r="P163" s="11" t="n">
        <v>0</v>
      </c>
      <c r="Q163" s="11" t="n">
        <v>0</v>
      </c>
      <c r="R163" s="25" t="n">
        <v>-1.4</v>
      </c>
      <c r="S163" s="25" t="n">
        <v>-0.87</v>
      </c>
    </row>
    <row r="164">
      <c r="A164" s="24" t="n">
        <v>46101</v>
      </c>
      <c r="B164" s="10" t="inlineStr">
        <is>
          <t>2026-03</t>
        </is>
      </c>
      <c r="C164" s="11" t="n">
        <v>3</v>
      </c>
      <c r="D164" s="10" t="inlineStr">
        <is>
          <t>Mùa khô</t>
        </is>
      </c>
      <c r="E164" s="12" t="n">
        <v>32.4</v>
      </c>
      <c r="F164" s="12" t="n">
        <v>24.3</v>
      </c>
      <c r="G164" s="12" t="n">
        <v>27.6</v>
      </c>
      <c r="H164" s="16" t="n">
        <v>27.89</v>
      </c>
      <c r="I164" s="12" t="n">
        <v>29.75</v>
      </c>
      <c r="J164" s="12" t="n">
        <v>25.58</v>
      </c>
      <c r="K164" s="12" t="n">
        <v>4.17</v>
      </c>
      <c r="L164" s="12" t="n">
        <v>8.1</v>
      </c>
      <c r="M164" s="11" t="n">
        <v>68</v>
      </c>
      <c r="N164" s="12" t="n">
        <v>0.4</v>
      </c>
      <c r="O164" s="11" t="n">
        <v>0</v>
      </c>
      <c r="P164" s="11" t="n">
        <v>0</v>
      </c>
      <c r="Q164" s="11" t="n">
        <v>0</v>
      </c>
      <c r="R164" s="25" t="n">
        <v>-0.8</v>
      </c>
      <c r="S164" s="25" t="n">
        <v>-1.47</v>
      </c>
    </row>
    <row r="165">
      <c r="A165" s="24" t="n">
        <v>46102</v>
      </c>
      <c r="B165" s="10" t="inlineStr">
        <is>
          <t>2026-03</t>
        </is>
      </c>
      <c r="C165" s="11" t="n">
        <v>3</v>
      </c>
      <c r="D165" s="10" t="inlineStr">
        <is>
          <t>Mùa khô</t>
        </is>
      </c>
      <c r="E165" s="12" t="n">
        <v>34.8</v>
      </c>
      <c r="F165" s="12" t="n">
        <v>23.9</v>
      </c>
      <c r="G165" s="12" t="n">
        <v>28.2</v>
      </c>
      <c r="H165" s="16" t="n">
        <v>27.96</v>
      </c>
      <c r="I165" s="12" t="n">
        <v>30.66</v>
      </c>
      <c r="J165" s="12" t="n">
        <v>25.79</v>
      </c>
      <c r="K165" s="12" t="n">
        <v>4.87</v>
      </c>
      <c r="L165" s="12" t="n">
        <v>10.9</v>
      </c>
      <c r="M165" s="11" t="n">
        <v>68</v>
      </c>
      <c r="N165" s="12" t="n">
        <v>0</v>
      </c>
      <c r="O165" s="11" t="n">
        <v>0</v>
      </c>
      <c r="P165" s="11" t="n">
        <v>0</v>
      </c>
      <c r="Q165" s="11" t="n">
        <v>1</v>
      </c>
      <c r="R165" s="25" t="n">
        <v>2.4</v>
      </c>
      <c r="S165" s="25" t="n">
        <v>1.27</v>
      </c>
    </row>
    <row r="166">
      <c r="A166" s="24" t="n">
        <v>46103</v>
      </c>
      <c r="B166" s="10" t="inlineStr">
        <is>
          <t>2026-03</t>
        </is>
      </c>
      <c r="C166" s="11" t="n">
        <v>3</v>
      </c>
      <c r="D166" s="10" t="inlineStr">
        <is>
          <t>Mùa khô</t>
        </is>
      </c>
      <c r="E166" s="12" t="n">
        <v>35.4</v>
      </c>
      <c r="F166" s="12" t="n">
        <v>24.6</v>
      </c>
      <c r="G166" s="12" t="n">
        <v>28.7</v>
      </c>
      <c r="H166" s="16" t="n">
        <v>28.04</v>
      </c>
      <c r="I166" s="12" t="n">
        <v>31.39</v>
      </c>
      <c r="J166" s="12" t="n">
        <v>26.13</v>
      </c>
      <c r="K166" s="12" t="n">
        <v>5.27</v>
      </c>
      <c r="L166" s="12" t="n">
        <v>10.8</v>
      </c>
      <c r="M166" s="11" t="n">
        <v>63</v>
      </c>
      <c r="N166" s="12" t="n">
        <v>0</v>
      </c>
      <c r="O166" s="11" t="n">
        <v>0</v>
      </c>
      <c r="P166" s="11" t="n">
        <v>0</v>
      </c>
      <c r="Q166" s="11" t="n">
        <v>0</v>
      </c>
      <c r="R166" s="25" t="n">
        <v>0.6</v>
      </c>
      <c r="S166" s="25" t="n">
        <v>1.51</v>
      </c>
    </row>
    <row r="167">
      <c r="A167" s="24" t="n">
        <v>46104</v>
      </c>
      <c r="B167" s="10" t="inlineStr">
        <is>
          <t>2026-03</t>
        </is>
      </c>
      <c r="C167" s="11" t="n">
        <v>3</v>
      </c>
      <c r="D167" s="10" t="inlineStr">
        <is>
          <t>Mùa khô</t>
        </is>
      </c>
      <c r="E167" s="12" t="n">
        <v>35.6</v>
      </c>
      <c r="F167" s="12" t="n">
        <v>24.5</v>
      </c>
      <c r="G167" s="12" t="n">
        <v>28.8</v>
      </c>
      <c r="H167" s="16" t="n">
        <v>28.13</v>
      </c>
      <c r="I167" s="12" t="n">
        <v>31.69</v>
      </c>
      <c r="J167" s="12" t="n">
        <v>25.97</v>
      </c>
      <c r="K167" s="12" t="n">
        <v>5.72</v>
      </c>
      <c r="L167" s="12" t="n">
        <v>11.1</v>
      </c>
      <c r="M167" s="11" t="n">
        <v>62</v>
      </c>
      <c r="N167" s="12" t="n">
        <v>0</v>
      </c>
      <c r="O167" s="11" t="n">
        <v>0</v>
      </c>
      <c r="P167" s="11" t="n">
        <v>0</v>
      </c>
      <c r="Q167" s="11" t="n">
        <v>0</v>
      </c>
      <c r="R167" s="25" t="n">
        <v>0.2</v>
      </c>
      <c r="S167" s="25" t="n">
        <v>1.53</v>
      </c>
    </row>
    <row r="168">
      <c r="A168" s="24" t="n">
        <v>46105</v>
      </c>
      <c r="B168" s="10" t="inlineStr">
        <is>
          <t>2026-03</t>
        </is>
      </c>
      <c r="C168" s="11" t="n">
        <v>3</v>
      </c>
      <c r="D168" s="10" t="inlineStr">
        <is>
          <t>Mùa khô</t>
        </is>
      </c>
      <c r="E168" s="12" t="n">
        <v>35.2</v>
      </c>
      <c r="F168" s="12" t="n">
        <v>24</v>
      </c>
      <c r="G168" s="12" t="n">
        <v>28.3</v>
      </c>
      <c r="H168" s="16" t="n">
        <v>28.19</v>
      </c>
      <c r="I168" s="12" t="n">
        <v>30.99</v>
      </c>
      <c r="J168" s="12" t="n">
        <v>25.68</v>
      </c>
      <c r="K168" s="12" t="n">
        <v>5.32</v>
      </c>
      <c r="L168" s="12" t="n">
        <v>11.2</v>
      </c>
      <c r="M168" s="11" t="n">
        <v>66</v>
      </c>
      <c r="N168" s="12" t="n">
        <v>0</v>
      </c>
      <c r="O168" s="11" t="n">
        <v>0</v>
      </c>
      <c r="P168" s="11" t="n">
        <v>0</v>
      </c>
      <c r="Q168" s="11" t="n">
        <v>0</v>
      </c>
      <c r="R168" s="25" t="n">
        <v>-0.4</v>
      </c>
      <c r="S168" s="25" t="n">
        <v>0.83</v>
      </c>
    </row>
    <row r="169">
      <c r="A169" s="24" t="n">
        <v>46106</v>
      </c>
      <c r="B169" s="10" t="inlineStr">
        <is>
          <t>2026-03</t>
        </is>
      </c>
      <c r="C169" s="11" t="n">
        <v>3</v>
      </c>
      <c r="D169" s="10" t="inlineStr">
        <is>
          <t>Mùa khô</t>
        </is>
      </c>
      <c r="E169" s="12" t="n">
        <v>36</v>
      </c>
      <c r="F169" s="12" t="n">
        <v>23.9</v>
      </c>
      <c r="G169" s="12" t="n">
        <v>28.6</v>
      </c>
      <c r="H169" s="16" t="n">
        <v>28.29</v>
      </c>
      <c r="I169" s="12" t="n">
        <v>31.45</v>
      </c>
      <c r="J169" s="12" t="n">
        <v>25.77</v>
      </c>
      <c r="K169" s="12" t="n">
        <v>5.68</v>
      </c>
      <c r="L169" s="12" t="n">
        <v>12.1</v>
      </c>
      <c r="M169" s="11" t="n">
        <v>66</v>
      </c>
      <c r="N169" s="12" t="n">
        <v>0</v>
      </c>
      <c r="O169" s="11" t="n">
        <v>0</v>
      </c>
      <c r="P169" s="11" t="n">
        <v>0</v>
      </c>
      <c r="Q169" s="11" t="n">
        <v>0</v>
      </c>
      <c r="R169" s="25" t="n">
        <v>0.8</v>
      </c>
      <c r="S169" s="25" t="n">
        <v>1.54</v>
      </c>
    </row>
    <row r="170">
      <c r="A170" s="24" t="n">
        <v>46107</v>
      </c>
      <c r="B170" s="10" t="inlineStr">
        <is>
          <t>2026-03</t>
        </is>
      </c>
      <c r="C170" s="11" t="n">
        <v>3</v>
      </c>
      <c r="D170" s="10" t="inlineStr">
        <is>
          <t>Mùa khô</t>
        </is>
      </c>
      <c r="E170" s="12" t="n">
        <v>35.5</v>
      </c>
      <c r="F170" s="12" t="n">
        <v>24.5</v>
      </c>
      <c r="G170" s="12" t="n">
        <v>28.6</v>
      </c>
      <c r="H170" s="16" t="n">
        <v>28.4</v>
      </c>
      <c r="I170" s="12" t="n">
        <v>31.14</v>
      </c>
      <c r="J170" s="12" t="n">
        <v>26.02</v>
      </c>
      <c r="K170" s="12" t="n">
        <v>5.13</v>
      </c>
      <c r="L170" s="12" t="n">
        <v>11</v>
      </c>
      <c r="M170" s="11" t="n">
        <v>66</v>
      </c>
      <c r="N170" s="12" t="n">
        <v>0</v>
      </c>
      <c r="O170" s="11" t="n">
        <v>0</v>
      </c>
      <c r="P170" s="11" t="n">
        <v>0</v>
      </c>
      <c r="Q170" s="11" t="n">
        <v>0</v>
      </c>
      <c r="R170" s="25" t="n">
        <v>-0.5</v>
      </c>
      <c r="S170" s="25" t="n">
        <v>0.84</v>
      </c>
    </row>
    <row r="171">
      <c r="A171" s="24" t="n">
        <v>46108</v>
      </c>
      <c r="B171" s="10" t="inlineStr">
        <is>
          <t>2026-03</t>
        </is>
      </c>
      <c r="C171" s="11" t="n">
        <v>3</v>
      </c>
      <c r="D171" s="10" t="inlineStr">
        <is>
          <t>Mùa khô</t>
        </is>
      </c>
      <c r="E171" s="12" t="n">
        <v>33.6</v>
      </c>
      <c r="F171" s="12" t="n">
        <v>23.9</v>
      </c>
      <c r="G171" s="12" t="n">
        <v>28.2</v>
      </c>
      <c r="H171" s="16" t="n">
        <v>28.49</v>
      </c>
      <c r="I171" s="12" t="n">
        <v>30.77</v>
      </c>
      <c r="J171" s="12" t="n">
        <v>25.63</v>
      </c>
      <c r="K171" s="12" t="n">
        <v>5.13</v>
      </c>
      <c r="L171" s="12" t="n">
        <v>9.699999999999999</v>
      </c>
      <c r="M171" s="11" t="n">
        <v>66</v>
      </c>
      <c r="N171" s="12" t="n">
        <v>0</v>
      </c>
      <c r="O171" s="11" t="n">
        <v>0</v>
      </c>
      <c r="P171" s="11" t="n">
        <v>0</v>
      </c>
      <c r="Q171" s="11" t="n">
        <v>0</v>
      </c>
      <c r="R171" s="25" t="n">
        <v>-1.9</v>
      </c>
      <c r="S171" s="25" t="n">
        <v>-1.39</v>
      </c>
    </row>
    <row r="172">
      <c r="A172" s="24" t="n">
        <v>46109</v>
      </c>
      <c r="B172" s="10" t="inlineStr">
        <is>
          <t>2026-03</t>
        </is>
      </c>
      <c r="C172" s="11" t="n">
        <v>3</v>
      </c>
      <c r="D172" s="10" t="inlineStr">
        <is>
          <t>Mùa khô</t>
        </is>
      </c>
      <c r="E172" s="12" t="n">
        <v>34.7</v>
      </c>
      <c r="F172" s="12" t="n">
        <v>23.6</v>
      </c>
      <c r="G172" s="12" t="n">
        <v>28</v>
      </c>
      <c r="H172" s="16" t="n">
        <v>28.46</v>
      </c>
      <c r="I172" s="12" t="n">
        <v>30.61</v>
      </c>
      <c r="J172" s="12" t="n">
        <v>25.52</v>
      </c>
      <c r="K172" s="12" t="n">
        <v>5.09</v>
      </c>
      <c r="L172" s="12" t="n">
        <v>11.1</v>
      </c>
      <c r="M172" s="11" t="n">
        <v>70</v>
      </c>
      <c r="N172" s="12" t="n">
        <v>0</v>
      </c>
      <c r="O172" s="11" t="n">
        <v>0</v>
      </c>
      <c r="P172" s="11" t="n">
        <v>0</v>
      </c>
      <c r="Q172" s="11" t="n">
        <v>0</v>
      </c>
      <c r="R172" s="25" t="n">
        <v>1.1</v>
      </c>
      <c r="S172" s="25" t="n">
        <v>-0.46</v>
      </c>
    </row>
    <row r="173">
      <c r="A173" s="24" t="n">
        <v>46110</v>
      </c>
      <c r="B173" s="10" t="inlineStr">
        <is>
          <t>2026-03</t>
        </is>
      </c>
      <c r="C173" s="11" t="n">
        <v>3</v>
      </c>
      <c r="D173" s="10" t="inlineStr">
        <is>
          <t>Mùa khô</t>
        </is>
      </c>
      <c r="E173" s="12" t="n">
        <v>35.3</v>
      </c>
      <c r="F173" s="12" t="n">
        <v>24.2</v>
      </c>
      <c r="G173" s="12" t="n">
        <v>29.1</v>
      </c>
      <c r="H173" s="16" t="n">
        <v>28.51</v>
      </c>
      <c r="I173" s="12" t="n">
        <v>31.78</v>
      </c>
      <c r="J173" s="12" t="n">
        <v>26.39</v>
      </c>
      <c r="K173" s="12" t="n">
        <v>5.39</v>
      </c>
      <c r="L173" s="12" t="n">
        <v>11.1</v>
      </c>
      <c r="M173" s="11" t="n">
        <v>68</v>
      </c>
      <c r="N173" s="12" t="n">
        <v>0</v>
      </c>
      <c r="O173" s="11" t="n">
        <v>0</v>
      </c>
      <c r="P173" s="11" t="n">
        <v>0</v>
      </c>
      <c r="Q173" s="11" t="n">
        <v>0</v>
      </c>
      <c r="R173" s="25" t="n">
        <v>0.6</v>
      </c>
      <c r="S173" s="25" t="n">
        <v>0.16</v>
      </c>
    </row>
    <row r="174">
      <c r="A174" s="24" t="n">
        <v>46111</v>
      </c>
      <c r="B174" s="10" t="inlineStr">
        <is>
          <t>2026-03</t>
        </is>
      </c>
      <c r="C174" s="11" t="n">
        <v>3</v>
      </c>
      <c r="D174" s="10" t="inlineStr">
        <is>
          <t>Mùa khô</t>
        </is>
      </c>
      <c r="E174" s="12" t="n">
        <v>34.9</v>
      </c>
      <c r="F174" s="12" t="n">
        <v>24.6</v>
      </c>
      <c r="G174" s="12" t="n">
        <v>28.9</v>
      </c>
      <c r="H174" s="16" t="n">
        <v>28.53</v>
      </c>
      <c r="I174" s="12" t="n">
        <v>31.49</v>
      </c>
      <c r="J174" s="12" t="n">
        <v>26.41</v>
      </c>
      <c r="K174" s="12" t="n">
        <v>5.08</v>
      </c>
      <c r="L174" s="12" t="n">
        <v>10.3</v>
      </c>
      <c r="M174" s="11" t="n">
        <v>70</v>
      </c>
      <c r="N174" s="12" t="n">
        <v>0.1</v>
      </c>
      <c r="O174" s="11" t="n">
        <v>0</v>
      </c>
      <c r="P174" s="11" t="n">
        <v>0</v>
      </c>
      <c r="Q174" s="11" t="n">
        <v>0</v>
      </c>
      <c r="R174" s="25" t="n">
        <v>-0.4</v>
      </c>
      <c r="S174" s="25" t="n">
        <v>-0.23</v>
      </c>
    </row>
    <row r="175">
      <c r="A175" s="24" t="n">
        <v>46112</v>
      </c>
      <c r="B175" s="10" t="inlineStr">
        <is>
          <t>2026-03</t>
        </is>
      </c>
      <c r="C175" s="11" t="n">
        <v>3</v>
      </c>
      <c r="D175" s="10" t="inlineStr">
        <is>
          <t>Mùa khô</t>
        </is>
      </c>
      <c r="E175" s="12" t="n">
        <v>35.4</v>
      </c>
      <c r="F175" s="12" t="n">
        <v>24.3</v>
      </c>
      <c r="G175" s="12" t="n">
        <v>29</v>
      </c>
      <c r="H175" s="16" t="n">
        <v>28.63</v>
      </c>
      <c r="I175" s="12" t="n">
        <v>31.57</v>
      </c>
      <c r="J175" s="12" t="n">
        <v>26.47</v>
      </c>
      <c r="K175" s="12" t="n">
        <v>5.1</v>
      </c>
      <c r="L175" s="12" t="n">
        <v>11.1</v>
      </c>
      <c r="M175" s="11" t="n">
        <v>68</v>
      </c>
      <c r="N175" s="12" t="n">
        <v>0</v>
      </c>
      <c r="O175" s="11" t="n">
        <v>0</v>
      </c>
      <c r="P175" s="11" t="n">
        <v>0</v>
      </c>
      <c r="Q175" s="11" t="n">
        <v>0</v>
      </c>
      <c r="R175" s="25" t="n">
        <v>0.5</v>
      </c>
      <c r="S175" s="25" t="n">
        <v>0.37</v>
      </c>
    </row>
    <row r="176">
      <c r="A176" s="24" t="n">
        <v>46113</v>
      </c>
      <c r="B176" s="10" t="inlineStr">
        <is>
          <t>2026-04</t>
        </is>
      </c>
      <c r="C176" s="11" t="n">
        <v>4</v>
      </c>
      <c r="D176" s="10" t="inlineStr">
        <is>
          <t>Mùa khô</t>
        </is>
      </c>
      <c r="E176" s="12" t="n">
        <v>35.2</v>
      </c>
      <c r="F176" s="12" t="n">
        <v>24.6</v>
      </c>
      <c r="G176" s="12" t="n">
        <v>28.9</v>
      </c>
      <c r="H176" s="16" t="n">
        <v>28.67</v>
      </c>
      <c r="I176" s="12" t="n">
        <v>31.47</v>
      </c>
      <c r="J176" s="12" t="n">
        <v>26.39</v>
      </c>
      <c r="K176" s="12" t="n">
        <v>5.08</v>
      </c>
      <c r="L176" s="12" t="n">
        <v>10.6</v>
      </c>
      <c r="M176" s="11" t="n">
        <v>68</v>
      </c>
      <c r="N176" s="12" t="n">
        <v>0</v>
      </c>
      <c r="O176" s="11" t="n">
        <v>0</v>
      </c>
      <c r="P176" s="11" t="n">
        <v>0</v>
      </c>
      <c r="Q176" s="11" t="n">
        <v>0</v>
      </c>
      <c r="R176" s="25" t="n">
        <v>-0.2</v>
      </c>
      <c r="S176" s="25" t="n">
        <v>0.14</v>
      </c>
    </row>
    <row r="177">
      <c r="A177" s="24" t="n">
        <v>46114</v>
      </c>
      <c r="B177" s="10" t="inlineStr">
        <is>
          <t>2026-04</t>
        </is>
      </c>
      <c r="C177" s="11" t="n">
        <v>4</v>
      </c>
      <c r="D177" s="10" t="inlineStr">
        <is>
          <t>Mùa khô</t>
        </is>
      </c>
      <c r="E177" s="12" t="n">
        <v>35.9</v>
      </c>
      <c r="F177" s="12" t="n">
        <v>25.4</v>
      </c>
      <c r="G177" s="12" t="n">
        <v>29.4</v>
      </c>
      <c r="H177" s="16" t="n">
        <v>28.79</v>
      </c>
      <c r="I177" s="12" t="n">
        <v>31.99</v>
      </c>
      <c r="J177" s="12" t="n">
        <v>26.82</v>
      </c>
      <c r="K177" s="12" t="n">
        <v>5.17</v>
      </c>
      <c r="L177" s="12" t="n">
        <v>10.5</v>
      </c>
      <c r="M177" s="11" t="n">
        <v>65</v>
      </c>
      <c r="N177" s="12" t="n">
        <v>0</v>
      </c>
      <c r="O177" s="11" t="n">
        <v>0</v>
      </c>
      <c r="P177" s="11" t="n">
        <v>0</v>
      </c>
      <c r="Q177" s="11" t="n">
        <v>0</v>
      </c>
      <c r="R177" s="25" t="n">
        <v>0.7</v>
      </c>
      <c r="S177" s="25" t="n">
        <v>0.96</v>
      </c>
    </row>
    <row r="178">
      <c r="A178" s="24" t="n">
        <v>46115</v>
      </c>
      <c r="B178" s="10" t="inlineStr">
        <is>
          <t>2026-04</t>
        </is>
      </c>
      <c r="C178" s="11" t="n">
        <v>4</v>
      </c>
      <c r="D178" s="10" t="inlineStr">
        <is>
          <t>Mùa khô</t>
        </is>
      </c>
      <c r="E178" s="12" t="n">
        <v>35.4</v>
      </c>
      <c r="F178" s="12" t="n">
        <v>25</v>
      </c>
      <c r="G178" s="12" t="n">
        <v>29.3</v>
      </c>
      <c r="H178" s="16" t="n">
        <v>28.94</v>
      </c>
      <c r="I178" s="12" t="n">
        <v>31.82</v>
      </c>
      <c r="J178" s="12" t="n">
        <v>26.79</v>
      </c>
      <c r="K178" s="12" t="n">
        <v>5.03</v>
      </c>
      <c r="L178" s="12" t="n">
        <v>10.4</v>
      </c>
      <c r="M178" s="11" t="n">
        <v>60</v>
      </c>
      <c r="N178" s="12" t="n">
        <v>0</v>
      </c>
      <c r="O178" s="11" t="n">
        <v>0</v>
      </c>
      <c r="P178" s="11" t="n">
        <v>0</v>
      </c>
      <c r="Q178" s="11" t="n">
        <v>0</v>
      </c>
      <c r="R178" s="25" t="n">
        <v>-0.5</v>
      </c>
      <c r="S178" s="25" t="n">
        <v>0.4</v>
      </c>
    </row>
    <row r="179">
      <c r="A179" s="24" t="n">
        <v>46116</v>
      </c>
      <c r="B179" s="10" t="inlineStr">
        <is>
          <t>2026-04</t>
        </is>
      </c>
      <c r="C179" s="11" t="n">
        <v>4</v>
      </c>
      <c r="D179" s="10" t="inlineStr">
        <is>
          <t>Mùa khô</t>
        </is>
      </c>
      <c r="E179" s="12" t="n">
        <v>35.8</v>
      </c>
      <c r="F179" s="12" t="n">
        <v>23.5</v>
      </c>
      <c r="G179" s="12" t="n">
        <v>29.4</v>
      </c>
      <c r="H179" s="16" t="n">
        <v>29.14</v>
      </c>
      <c r="I179" s="12" t="n">
        <v>31.96</v>
      </c>
      <c r="J179" s="12" t="n">
        <v>26.94</v>
      </c>
      <c r="K179" s="12" t="n">
        <v>5.02</v>
      </c>
      <c r="L179" s="12" t="n">
        <v>12.3</v>
      </c>
      <c r="M179" s="11" t="n">
        <v>65</v>
      </c>
      <c r="N179" s="12" t="n">
        <v>0</v>
      </c>
      <c r="O179" s="11" t="n">
        <v>0</v>
      </c>
      <c r="P179" s="11" t="n">
        <v>0</v>
      </c>
      <c r="Q179" s="11" t="n">
        <v>0</v>
      </c>
      <c r="R179" s="25" t="n">
        <v>0.4</v>
      </c>
      <c r="S179" s="25" t="n">
        <v>0.54</v>
      </c>
    </row>
    <row r="180">
      <c r="A180" s="24" t="n">
        <v>46117</v>
      </c>
      <c r="B180" s="10" t="inlineStr">
        <is>
          <t>2026-04</t>
        </is>
      </c>
      <c r="C180" s="11" t="n">
        <v>4</v>
      </c>
      <c r="D180" s="10" t="inlineStr">
        <is>
          <t>Mùa khô</t>
        </is>
      </c>
      <c r="E180" s="12" t="n">
        <v>36.4</v>
      </c>
      <c r="F180" s="12" t="n">
        <v>24.9</v>
      </c>
      <c r="G180" s="12" t="n">
        <v>29.8</v>
      </c>
      <c r="H180" s="16" t="n">
        <v>29.24</v>
      </c>
      <c r="I180" s="12" t="n">
        <v>32.59</v>
      </c>
      <c r="J180" s="12" t="n">
        <v>27.07</v>
      </c>
      <c r="K180" s="12" t="n">
        <v>5.53</v>
      </c>
      <c r="L180" s="12" t="n">
        <v>11.5</v>
      </c>
      <c r="M180" s="11" t="n">
        <v>68</v>
      </c>
      <c r="N180" s="12" t="n">
        <v>0</v>
      </c>
      <c r="O180" s="11" t="n">
        <v>0</v>
      </c>
      <c r="P180" s="11" t="n">
        <v>0</v>
      </c>
      <c r="Q180" s="11" t="n">
        <v>0</v>
      </c>
      <c r="R180" s="25" t="n">
        <v>0.6</v>
      </c>
      <c r="S180" s="25" t="n">
        <v>0.99</v>
      </c>
    </row>
    <row r="181">
      <c r="A181" s="24" t="n">
        <v>46118</v>
      </c>
      <c r="B181" s="10" t="inlineStr">
        <is>
          <t>2026-04</t>
        </is>
      </c>
      <c r="C181" s="11" t="n">
        <v>4</v>
      </c>
      <c r="D181" s="10" t="inlineStr">
        <is>
          <t>Mùa khô</t>
        </is>
      </c>
      <c r="E181" s="12" t="n">
        <v>37</v>
      </c>
      <c r="F181" s="12" t="n">
        <v>25</v>
      </c>
      <c r="G181" s="12" t="n">
        <v>30</v>
      </c>
      <c r="H181" s="16" t="n">
        <v>29.4</v>
      </c>
      <c r="I181" s="12" t="n">
        <v>32.77</v>
      </c>
      <c r="J181" s="12" t="n">
        <v>27.34</v>
      </c>
      <c r="K181" s="12" t="n">
        <v>5.42</v>
      </c>
      <c r="L181" s="12" t="n">
        <v>12</v>
      </c>
      <c r="M181" s="11" t="n">
        <v>66</v>
      </c>
      <c r="N181" s="12" t="n">
        <v>0</v>
      </c>
      <c r="O181" s="11" t="n">
        <v>0</v>
      </c>
      <c r="P181" s="11" t="n">
        <v>0</v>
      </c>
      <c r="Q181" s="11" t="n">
        <v>0</v>
      </c>
      <c r="R181" s="25" t="n">
        <v>0.6</v>
      </c>
      <c r="S181" s="25" t="n">
        <v>1.43</v>
      </c>
    </row>
    <row r="182">
      <c r="A182" s="24" t="n">
        <v>46119</v>
      </c>
      <c r="B182" s="10" t="inlineStr">
        <is>
          <t>2026-04</t>
        </is>
      </c>
      <c r="C182" s="11" t="n">
        <v>4</v>
      </c>
      <c r="D182" s="10" t="inlineStr">
        <is>
          <t>Mùa khô</t>
        </is>
      </c>
      <c r="E182" s="12" t="n">
        <v>37.4</v>
      </c>
      <c r="F182" s="12" t="n">
        <v>25.3</v>
      </c>
      <c r="G182" s="12" t="n">
        <v>30.7</v>
      </c>
      <c r="H182" s="16" t="n">
        <v>29.64</v>
      </c>
      <c r="I182" s="12" t="n">
        <v>33.31</v>
      </c>
      <c r="J182" s="12" t="n">
        <v>28.05</v>
      </c>
      <c r="K182" s="12" t="n">
        <v>5.26</v>
      </c>
      <c r="L182" s="12" t="n">
        <v>12.1</v>
      </c>
      <c r="M182" s="11" t="n">
        <v>63</v>
      </c>
      <c r="N182" s="12" t="n">
        <v>0</v>
      </c>
      <c r="O182" s="11" t="n">
        <v>0</v>
      </c>
      <c r="P182" s="11" t="n">
        <v>0</v>
      </c>
      <c r="Q182" s="11" t="n">
        <v>0</v>
      </c>
      <c r="R182" s="25" t="n">
        <v>0.4</v>
      </c>
      <c r="S182" s="25" t="n">
        <v>1.53</v>
      </c>
    </row>
    <row r="183">
      <c r="A183" s="24" t="n">
        <v>46120</v>
      </c>
      <c r="B183" s="10" t="inlineStr">
        <is>
          <t>2026-04</t>
        </is>
      </c>
      <c r="C183" s="11" t="n">
        <v>4</v>
      </c>
      <c r="D183" s="10" t="inlineStr">
        <is>
          <t>Mùa khô</t>
        </is>
      </c>
      <c r="E183" s="12" t="n">
        <v>37</v>
      </c>
      <c r="F183" s="12" t="n">
        <v>26.6</v>
      </c>
      <c r="G183" s="12" t="n">
        <v>30.7</v>
      </c>
      <c r="H183" s="16" t="n">
        <v>29.9</v>
      </c>
      <c r="I183" s="12" t="n">
        <v>33.27</v>
      </c>
      <c r="J183" s="12" t="n">
        <v>28.08</v>
      </c>
      <c r="K183" s="12" t="n">
        <v>5.18</v>
      </c>
      <c r="L183" s="12" t="n">
        <v>10.4</v>
      </c>
      <c r="M183" s="11" t="n">
        <v>69</v>
      </c>
      <c r="N183" s="12" t="n">
        <v>0.3</v>
      </c>
      <c r="O183" s="11" t="n">
        <v>0</v>
      </c>
      <c r="P183" s="11" t="n">
        <v>0</v>
      </c>
      <c r="Q183" s="11" t="n">
        <v>0</v>
      </c>
      <c r="R183" s="25" t="n">
        <v>-0.4</v>
      </c>
      <c r="S183" s="25" t="n">
        <v>0.84</v>
      </c>
    </row>
    <row r="184">
      <c r="A184" s="24" t="n">
        <v>46121</v>
      </c>
      <c r="B184" s="10" t="inlineStr">
        <is>
          <t>2026-04</t>
        </is>
      </c>
      <c r="C184" s="11" t="n">
        <v>4</v>
      </c>
      <c r="D184" s="10" t="inlineStr">
        <is>
          <t>Mùa khô</t>
        </is>
      </c>
      <c r="E184" s="12" t="n">
        <v>35.4</v>
      </c>
      <c r="F184" s="12" t="n">
        <v>26.3</v>
      </c>
      <c r="G184" s="12" t="n">
        <v>29.9</v>
      </c>
      <c r="H184" s="16" t="n">
        <v>29.97</v>
      </c>
      <c r="I184" s="12" t="n">
        <v>32.23</v>
      </c>
      <c r="J184" s="12" t="n">
        <v>27.61</v>
      </c>
      <c r="K184" s="12" t="n">
        <v>4.62</v>
      </c>
      <c r="L184" s="12" t="n">
        <v>9.1</v>
      </c>
      <c r="M184" s="11" t="n">
        <v>67</v>
      </c>
      <c r="N184" s="12" t="n">
        <v>0</v>
      </c>
      <c r="O184" s="11" t="n">
        <v>0</v>
      </c>
      <c r="P184" s="11" t="n">
        <v>0</v>
      </c>
      <c r="Q184" s="11" t="n">
        <v>0</v>
      </c>
      <c r="R184" s="25" t="n">
        <v>-1.6</v>
      </c>
      <c r="S184" s="25" t="n">
        <v>-1.01</v>
      </c>
    </row>
    <row r="185">
      <c r="A185" s="24" t="n">
        <v>46122</v>
      </c>
      <c r="B185" s="10" t="inlineStr">
        <is>
          <t>2026-04</t>
        </is>
      </c>
      <c r="C185" s="11" t="n">
        <v>4</v>
      </c>
      <c r="D185" s="10" t="inlineStr">
        <is>
          <t>Mùa khô</t>
        </is>
      </c>
      <c r="E185" s="12" t="n">
        <v>36.4</v>
      </c>
      <c r="F185" s="12" t="n">
        <v>25.3</v>
      </c>
      <c r="G185" s="12" t="n">
        <v>30.1</v>
      </c>
      <c r="H185" s="16" t="n">
        <v>30.09</v>
      </c>
      <c r="I185" s="12" t="n">
        <v>32.63</v>
      </c>
      <c r="J185" s="12" t="n">
        <v>27.62</v>
      </c>
      <c r="K185" s="12" t="n">
        <v>5.02</v>
      </c>
      <c r="L185" s="12" t="n">
        <v>11.1</v>
      </c>
      <c r="M185" s="11" t="n">
        <v>66</v>
      </c>
      <c r="N185" s="12" t="n">
        <v>0.3</v>
      </c>
      <c r="O185" s="11" t="n">
        <v>0</v>
      </c>
      <c r="P185" s="11" t="n">
        <v>0</v>
      </c>
      <c r="Q185" s="11" t="n">
        <v>0</v>
      </c>
      <c r="R185" s="25" t="n">
        <v>1</v>
      </c>
      <c r="S185" s="25" t="n">
        <v>0.06</v>
      </c>
    </row>
    <row r="186">
      <c r="A186" s="24" t="n">
        <v>46123</v>
      </c>
      <c r="B186" s="10" t="inlineStr">
        <is>
          <t>2026-04</t>
        </is>
      </c>
      <c r="C186" s="11" t="n">
        <v>4</v>
      </c>
      <c r="D186" s="10" t="inlineStr">
        <is>
          <t>Mùa khô</t>
        </is>
      </c>
      <c r="E186" s="12" t="n">
        <v>36.5</v>
      </c>
      <c r="F186" s="12" t="n">
        <v>26</v>
      </c>
      <c r="G186" s="12" t="n">
        <v>30.3</v>
      </c>
      <c r="H186" s="16" t="n">
        <v>30.21</v>
      </c>
      <c r="I186" s="12" t="n">
        <v>32.74</v>
      </c>
      <c r="J186" s="12" t="n">
        <v>27.93</v>
      </c>
      <c r="K186" s="12" t="n">
        <v>4.81</v>
      </c>
      <c r="L186" s="12" t="n">
        <v>10.5</v>
      </c>
      <c r="M186" s="11" t="n">
        <v>65</v>
      </c>
      <c r="N186" s="12" t="n">
        <v>0</v>
      </c>
      <c r="O186" s="11" t="n">
        <v>0</v>
      </c>
      <c r="P186" s="11" t="n">
        <v>0</v>
      </c>
      <c r="Q186" s="11" t="n">
        <v>0</v>
      </c>
      <c r="R186" s="25" t="n">
        <v>0.1</v>
      </c>
      <c r="S186" s="25" t="n">
        <v>0.01</v>
      </c>
    </row>
    <row r="187">
      <c r="A187" s="24" t="n">
        <v>46124</v>
      </c>
      <c r="B187" s="10" t="inlineStr">
        <is>
          <t>2026-04</t>
        </is>
      </c>
      <c r="C187" s="11" t="n">
        <v>4</v>
      </c>
      <c r="D187" s="10" t="inlineStr">
        <is>
          <t>Mùa khô</t>
        </is>
      </c>
      <c r="E187" s="12" t="n">
        <v>36.6</v>
      </c>
      <c r="F187" s="12" t="n">
        <v>26.1</v>
      </c>
      <c r="G187" s="12" t="n">
        <v>30.4</v>
      </c>
      <c r="H187" s="16" t="n">
        <v>30.3</v>
      </c>
      <c r="I187" s="12" t="n">
        <v>32.73</v>
      </c>
      <c r="J187" s="12" t="n">
        <v>28.06</v>
      </c>
      <c r="K187" s="12" t="n">
        <v>4.68</v>
      </c>
      <c r="L187" s="12" t="n">
        <v>10.5</v>
      </c>
      <c r="M187" s="11" t="n">
        <v>65</v>
      </c>
      <c r="N187" s="12" t="n">
        <v>0.6</v>
      </c>
      <c r="O187" s="11" t="n">
        <v>0</v>
      </c>
      <c r="P187" s="11" t="n">
        <v>0</v>
      </c>
      <c r="Q187" s="11" t="n">
        <v>0</v>
      </c>
      <c r="R187" s="25" t="n">
        <v>0.1</v>
      </c>
      <c r="S187" s="25" t="n">
        <v>0.01</v>
      </c>
    </row>
    <row r="188">
      <c r="A188" s="24" t="n">
        <v>46125</v>
      </c>
      <c r="B188" s="10" t="inlineStr">
        <is>
          <t>2026-04</t>
        </is>
      </c>
      <c r="C188" s="11" t="n">
        <v>4</v>
      </c>
      <c r="D188" s="10" t="inlineStr">
        <is>
          <t>Mùa khô</t>
        </is>
      </c>
      <c r="E188" s="12" t="n">
        <v>34.8</v>
      </c>
      <c r="F188" s="12" t="n">
        <v>26.2</v>
      </c>
      <c r="G188" s="12" t="n">
        <v>29.9</v>
      </c>
      <c r="H188" s="16" t="n">
        <v>30.29</v>
      </c>
      <c r="I188" s="12" t="n">
        <v>32.05</v>
      </c>
      <c r="J188" s="12" t="n">
        <v>27.8</v>
      </c>
      <c r="K188" s="12" t="n">
        <v>4.25</v>
      </c>
      <c r="L188" s="12" t="n">
        <v>8.6</v>
      </c>
      <c r="M188" s="11" t="n">
        <v>70</v>
      </c>
      <c r="N188" s="12" t="n">
        <v>0.2</v>
      </c>
      <c r="O188" s="11" t="n">
        <v>0</v>
      </c>
      <c r="P188" s="11" t="n">
        <v>0</v>
      </c>
      <c r="Q188" s="11" t="n">
        <v>0</v>
      </c>
      <c r="R188" s="25" t="n">
        <v>-1.8</v>
      </c>
      <c r="S188" s="25" t="n">
        <v>-1.81</v>
      </c>
    </row>
    <row r="189">
      <c r="A189" s="24" t="n">
        <v>46126</v>
      </c>
      <c r="B189" s="10" t="inlineStr">
        <is>
          <t>2026-04</t>
        </is>
      </c>
      <c r="C189" s="11" t="n">
        <v>4</v>
      </c>
      <c r="D189" s="10" t="inlineStr">
        <is>
          <t>Mùa khô</t>
        </is>
      </c>
      <c r="E189" s="12" t="n">
        <v>34.6</v>
      </c>
      <c r="F189" s="12" t="n">
        <v>26.4</v>
      </c>
      <c r="G189" s="12" t="n">
        <v>29.7</v>
      </c>
      <c r="H189" s="16" t="n">
        <v>30.14</v>
      </c>
      <c r="I189" s="12" t="n">
        <v>31.53</v>
      </c>
      <c r="J189" s="12" t="n">
        <v>27.86</v>
      </c>
      <c r="K189" s="12" t="n">
        <v>3.67</v>
      </c>
      <c r="L189" s="12" t="n">
        <v>8.199999999999999</v>
      </c>
      <c r="M189" s="11" t="n">
        <v>70</v>
      </c>
      <c r="N189" s="12" t="n">
        <v>0.6</v>
      </c>
      <c r="O189" s="11" t="n">
        <v>0</v>
      </c>
      <c r="P189" s="11" t="n">
        <v>0</v>
      </c>
      <c r="Q189" s="11" t="n">
        <v>0</v>
      </c>
      <c r="R189" s="25" t="n">
        <v>-0.2</v>
      </c>
      <c r="S189" s="25" t="n">
        <v>-1.7</v>
      </c>
    </row>
    <row r="190">
      <c r="A190" s="24" t="n">
        <v>46127</v>
      </c>
      <c r="B190" s="10" t="inlineStr">
        <is>
          <t>2026-04</t>
        </is>
      </c>
      <c r="C190" s="11" t="n">
        <v>4</v>
      </c>
      <c r="D190" s="10" t="inlineStr">
        <is>
          <t>Mùa khô</t>
        </is>
      </c>
      <c r="E190" s="12" t="n">
        <v>34.8</v>
      </c>
      <c r="F190" s="12" t="n">
        <v>26</v>
      </c>
      <c r="G190" s="12" t="n">
        <v>29.8</v>
      </c>
      <c r="H190" s="16" t="n">
        <v>30.01</v>
      </c>
      <c r="I190" s="12" t="n">
        <v>31.42</v>
      </c>
      <c r="J190" s="12" t="n">
        <v>28.17</v>
      </c>
      <c r="K190" s="12" t="n">
        <v>3.25</v>
      </c>
      <c r="L190" s="12" t="n">
        <v>8.800000000000001</v>
      </c>
      <c r="M190" s="11" t="n">
        <v>67</v>
      </c>
      <c r="N190" s="12" t="n">
        <v>0.2</v>
      </c>
      <c r="O190" s="11" t="n">
        <v>0</v>
      </c>
      <c r="P190" s="11" t="n">
        <v>0</v>
      </c>
      <c r="Q190" s="11" t="n">
        <v>0</v>
      </c>
      <c r="R190" s="25" t="n">
        <v>0.2</v>
      </c>
      <c r="S190" s="25" t="n">
        <v>-1.1</v>
      </c>
    </row>
    <row r="191">
      <c r="A191" s="24" t="n">
        <v>46128</v>
      </c>
      <c r="B191" s="10" t="inlineStr">
        <is>
          <t>2026-04</t>
        </is>
      </c>
      <c r="C191" s="11" t="n">
        <v>4</v>
      </c>
      <c r="D191" s="10" t="inlineStr">
        <is>
          <t>Mùa khô</t>
        </is>
      </c>
      <c r="E191" s="12" t="n">
        <v>36.2</v>
      </c>
      <c r="F191" s="12" t="n">
        <v>26.3</v>
      </c>
      <c r="G191" s="12" t="n">
        <v>30.6</v>
      </c>
      <c r="H191" s="16" t="n">
        <v>30.11</v>
      </c>
      <c r="I191" s="12" t="n">
        <v>32.83</v>
      </c>
      <c r="J191" s="12" t="n">
        <v>28.36</v>
      </c>
      <c r="K191" s="12" t="n">
        <v>4.48</v>
      </c>
      <c r="L191" s="12" t="n">
        <v>9.9</v>
      </c>
      <c r="M191" s="11" t="n">
        <v>63</v>
      </c>
      <c r="N191" s="12" t="n">
        <v>0</v>
      </c>
      <c r="O191" s="11" t="n">
        <v>0</v>
      </c>
      <c r="P191" s="11" t="n">
        <v>0</v>
      </c>
      <c r="Q191" s="11" t="n">
        <v>0</v>
      </c>
      <c r="R191" s="25" t="n">
        <v>1.4</v>
      </c>
      <c r="S191" s="25" t="n">
        <v>0.61</v>
      </c>
    </row>
    <row r="192">
      <c r="A192" s="24" t="n">
        <v>46129</v>
      </c>
      <c r="B192" s="10" t="inlineStr">
        <is>
          <t>2026-04</t>
        </is>
      </c>
      <c r="C192" s="11" t="n">
        <v>4</v>
      </c>
      <c r="D192" s="10" t="inlineStr">
        <is>
          <t>Mùa khô</t>
        </is>
      </c>
      <c r="E192" s="12" t="n">
        <v>35.9</v>
      </c>
      <c r="F192" s="12" t="n">
        <v>27.2</v>
      </c>
      <c r="G192" s="12" t="n">
        <v>30.7</v>
      </c>
      <c r="H192" s="16" t="n">
        <v>30.2</v>
      </c>
      <c r="I192" s="12" t="n">
        <v>32.98</v>
      </c>
      <c r="J192" s="12" t="n">
        <v>28.57</v>
      </c>
      <c r="K192" s="12" t="n">
        <v>4.42</v>
      </c>
      <c r="L192" s="12" t="n">
        <v>8.699999999999999</v>
      </c>
      <c r="M192" s="11" t="n">
        <v>62</v>
      </c>
      <c r="N192" s="12" t="n">
        <v>0.1</v>
      </c>
      <c r="O192" s="11" t="n">
        <v>0</v>
      </c>
      <c r="P192" s="11" t="n">
        <v>0</v>
      </c>
      <c r="Q192" s="11" t="n">
        <v>0</v>
      </c>
      <c r="R192" s="25" t="n">
        <v>-0.3</v>
      </c>
      <c r="S192" s="25" t="n">
        <v>0.2</v>
      </c>
    </row>
    <row r="193">
      <c r="A193" s="24" t="n">
        <v>46130</v>
      </c>
      <c r="B193" s="10" t="inlineStr">
        <is>
          <t>2026-04</t>
        </is>
      </c>
      <c r="C193" s="11" t="n">
        <v>4</v>
      </c>
      <c r="D193" s="10" t="inlineStr">
        <is>
          <t>Mùa khô</t>
        </is>
      </c>
      <c r="E193" s="12" t="n">
        <v>35</v>
      </c>
      <c r="F193" s="12" t="n">
        <v>26.3</v>
      </c>
      <c r="G193" s="12" t="n">
        <v>30.3</v>
      </c>
      <c r="H193" s="16" t="n">
        <v>30.2</v>
      </c>
      <c r="I193" s="12" t="n">
        <v>32.41</v>
      </c>
      <c r="J193" s="12" t="n">
        <v>28.34</v>
      </c>
      <c r="K193" s="12" t="n">
        <v>4.07</v>
      </c>
      <c r="L193" s="12" t="n">
        <v>8.699999999999999</v>
      </c>
      <c r="M193" s="11" t="n">
        <v>63</v>
      </c>
      <c r="N193" s="12" t="n">
        <v>0.5</v>
      </c>
      <c r="O193" s="11" t="n">
        <v>0</v>
      </c>
      <c r="P193" s="11" t="n">
        <v>0</v>
      </c>
      <c r="Q193" s="11" t="n">
        <v>0</v>
      </c>
      <c r="R193" s="25" t="n">
        <v>-0.9</v>
      </c>
      <c r="S193" s="25" t="n">
        <v>-0.63</v>
      </c>
    </row>
    <row r="194">
      <c r="A194" s="24" t="n">
        <v>46131</v>
      </c>
      <c r="B194" s="10" t="inlineStr">
        <is>
          <t>2026-04</t>
        </is>
      </c>
      <c r="C194" s="11" t="n">
        <v>4</v>
      </c>
      <c r="D194" s="10" t="inlineStr">
        <is>
          <t>Mùa khô</t>
        </is>
      </c>
      <c r="E194" s="12" t="n">
        <v>34.1</v>
      </c>
      <c r="F194" s="12" t="n">
        <v>26</v>
      </c>
      <c r="G194" s="12" t="n">
        <v>29.7</v>
      </c>
      <c r="H194" s="16" t="n">
        <v>30.1</v>
      </c>
      <c r="I194" s="12" t="n">
        <v>31.31</v>
      </c>
      <c r="J194" s="12" t="n">
        <v>28.21</v>
      </c>
      <c r="K194" s="12" t="n">
        <v>3.1</v>
      </c>
      <c r="L194" s="12" t="n">
        <v>8.1</v>
      </c>
      <c r="M194" s="11" t="n">
        <v>65</v>
      </c>
      <c r="N194" s="12" t="n">
        <v>0.9</v>
      </c>
      <c r="O194" s="11" t="n">
        <v>0</v>
      </c>
      <c r="P194" s="11" t="n">
        <v>0</v>
      </c>
      <c r="Q194" s="11" t="n">
        <v>0</v>
      </c>
      <c r="R194" s="25" t="n">
        <v>-0.9</v>
      </c>
      <c r="S194" s="25" t="n">
        <v>-1.31</v>
      </c>
    </row>
    <row r="195">
      <c r="A195" s="24" t="n">
        <v>46132</v>
      </c>
      <c r="B195" s="10" t="inlineStr">
        <is>
          <t>2026-04</t>
        </is>
      </c>
      <c r="C195" s="11" t="n">
        <v>4</v>
      </c>
      <c r="D195" s="10" t="inlineStr">
        <is>
          <t>Mùa khô</t>
        </is>
      </c>
      <c r="E195" s="12" t="n">
        <v>33.7</v>
      </c>
      <c r="F195" s="12" t="n">
        <v>26.8</v>
      </c>
      <c r="G195" s="12" t="n">
        <v>29.7</v>
      </c>
      <c r="H195" s="16" t="n">
        <v>30.07</v>
      </c>
      <c r="I195" s="12" t="n">
        <v>31.62</v>
      </c>
      <c r="J195" s="12" t="n">
        <v>27.79</v>
      </c>
      <c r="K195" s="12" t="n">
        <v>3.82</v>
      </c>
      <c r="L195" s="12" t="n">
        <v>6.9</v>
      </c>
      <c r="M195" s="11" t="n">
        <v>59</v>
      </c>
      <c r="N195" s="12" t="n">
        <v>0.3</v>
      </c>
      <c r="O195" s="11" t="n">
        <v>0</v>
      </c>
      <c r="P195" s="11" t="n">
        <v>0</v>
      </c>
      <c r="Q195" s="11" t="n">
        <v>0</v>
      </c>
      <c r="R195" s="25" t="n">
        <v>-0.4</v>
      </c>
      <c r="S195" s="25" t="n">
        <v>-1.36</v>
      </c>
    </row>
    <row r="196">
      <c r="A196" s="24" t="n">
        <v>46133</v>
      </c>
      <c r="B196" s="10" t="inlineStr">
        <is>
          <t>2026-04</t>
        </is>
      </c>
      <c r="C196" s="11" t="n">
        <v>4</v>
      </c>
      <c r="D196" s="10" t="inlineStr">
        <is>
          <t>Mùa khô</t>
        </is>
      </c>
      <c r="E196" s="12" t="n">
        <v>34.2</v>
      </c>
      <c r="F196" s="12" t="n">
        <v>25.8</v>
      </c>
      <c r="G196" s="12" t="n">
        <v>29.4</v>
      </c>
      <c r="H196" s="16" t="n">
        <v>30.03</v>
      </c>
      <c r="I196" s="12" t="n">
        <v>31.53</v>
      </c>
      <c r="J196" s="12" t="n">
        <v>27.28</v>
      </c>
      <c r="K196" s="12" t="n">
        <v>4.26</v>
      </c>
      <c r="L196" s="12" t="n">
        <v>8.4</v>
      </c>
      <c r="M196" s="11" t="n">
        <v>59</v>
      </c>
      <c r="N196" s="12" t="n">
        <v>0.1</v>
      </c>
      <c r="O196" s="11" t="n">
        <v>0</v>
      </c>
      <c r="P196" s="11" t="n">
        <v>0</v>
      </c>
      <c r="Q196" s="11" t="n">
        <v>0</v>
      </c>
      <c r="R196" s="25" t="n">
        <v>0.5</v>
      </c>
      <c r="S196" s="25" t="n">
        <v>-0.7</v>
      </c>
    </row>
    <row r="197">
      <c r="A197" s="24" t="n">
        <v>46134</v>
      </c>
      <c r="B197" s="10" t="inlineStr">
        <is>
          <t>2026-04</t>
        </is>
      </c>
      <c r="C197" s="11" t="n">
        <v>4</v>
      </c>
      <c r="D197" s="10" t="inlineStr">
        <is>
          <t>Mùa khô</t>
        </is>
      </c>
      <c r="E197" s="12" t="n">
        <v>34.2</v>
      </c>
      <c r="F197" s="12" t="n">
        <v>25.5</v>
      </c>
      <c r="G197" s="12" t="n">
        <v>29.4</v>
      </c>
      <c r="H197" s="16" t="n">
        <v>29.97</v>
      </c>
      <c r="I197" s="12" t="n">
        <v>31.52</v>
      </c>
      <c r="J197" s="12" t="n">
        <v>27.29</v>
      </c>
      <c r="K197" s="12" t="n">
        <v>4.22</v>
      </c>
      <c r="L197" s="12" t="n">
        <v>8.699999999999999</v>
      </c>
      <c r="M197" s="11" t="n">
        <v>63</v>
      </c>
      <c r="N197" s="12" t="n">
        <v>0</v>
      </c>
      <c r="O197" s="11" t="n">
        <v>0</v>
      </c>
      <c r="P197" s="11" t="n">
        <v>0</v>
      </c>
      <c r="Q197" s="11" t="n">
        <v>0</v>
      </c>
      <c r="R197" s="25" t="n">
        <v>0</v>
      </c>
      <c r="S197" s="25" t="n">
        <v>-0.64</v>
      </c>
    </row>
    <row r="198">
      <c r="A198" s="24" t="n">
        <v>46135</v>
      </c>
      <c r="B198" s="10" t="inlineStr">
        <is>
          <t>2026-04</t>
        </is>
      </c>
      <c r="C198" s="11" t="n">
        <v>4</v>
      </c>
      <c r="D198" s="10" t="inlineStr">
        <is>
          <t>Mùa khô</t>
        </is>
      </c>
      <c r="E198" s="12" t="n">
        <v>35.5</v>
      </c>
      <c r="F198" s="12" t="n">
        <v>25.7</v>
      </c>
      <c r="G198" s="12" t="n">
        <v>29.8</v>
      </c>
      <c r="H198" s="16" t="n">
        <v>29.86</v>
      </c>
      <c r="I198" s="12" t="n">
        <v>32.11</v>
      </c>
      <c r="J198" s="12" t="n">
        <v>27.63</v>
      </c>
      <c r="K198" s="12" t="n">
        <v>4.47</v>
      </c>
      <c r="L198" s="12" t="n">
        <v>9.800000000000001</v>
      </c>
      <c r="M198" s="11" t="n">
        <v>63</v>
      </c>
      <c r="N198" s="12" t="n">
        <v>0</v>
      </c>
      <c r="O198" s="11" t="n">
        <v>0</v>
      </c>
      <c r="P198" s="11" t="n">
        <v>0</v>
      </c>
      <c r="Q198" s="11" t="n">
        <v>0</v>
      </c>
      <c r="R198" s="25" t="n">
        <v>1.3</v>
      </c>
      <c r="S198" s="25" t="n">
        <v>0.74</v>
      </c>
    </row>
    <row r="199">
      <c r="A199" s="24" t="n">
        <v>46136</v>
      </c>
      <c r="B199" s="10" t="inlineStr">
        <is>
          <t>2026-04</t>
        </is>
      </c>
      <c r="C199" s="11" t="n">
        <v>4</v>
      </c>
      <c r="D199" s="10" t="inlineStr">
        <is>
          <t>Mùa khô</t>
        </is>
      </c>
      <c r="E199" s="12" t="n">
        <v>36.2</v>
      </c>
      <c r="F199" s="12" t="n">
        <v>25.5</v>
      </c>
      <c r="G199" s="12" t="n">
        <v>30.1</v>
      </c>
      <c r="H199" s="16" t="n">
        <v>29.77</v>
      </c>
      <c r="I199" s="12" t="n">
        <v>32.59</v>
      </c>
      <c r="J199" s="12" t="n">
        <v>27.63</v>
      </c>
      <c r="K199" s="12" t="n">
        <v>4.97</v>
      </c>
      <c r="L199" s="12" t="n">
        <v>10.7</v>
      </c>
      <c r="M199" s="11" t="n">
        <v>61</v>
      </c>
      <c r="N199" s="12" t="n">
        <v>0</v>
      </c>
      <c r="O199" s="11" t="n">
        <v>0</v>
      </c>
      <c r="P199" s="11" t="n">
        <v>1</v>
      </c>
      <c r="Q199" s="11" t="n">
        <v>0</v>
      </c>
      <c r="R199" s="25" t="n">
        <v>0.7</v>
      </c>
      <c r="S199" s="25" t="n">
        <v>1.54</v>
      </c>
    </row>
    <row r="200">
      <c r="A200" s="24" t="n">
        <v>46137</v>
      </c>
      <c r="B200" s="10" t="inlineStr">
        <is>
          <t>2026-04</t>
        </is>
      </c>
      <c r="C200" s="11" t="n">
        <v>4</v>
      </c>
      <c r="D200" s="10" t="inlineStr">
        <is>
          <t>Mùa khô</t>
        </is>
      </c>
      <c r="E200" s="12" t="n">
        <v>36.1</v>
      </c>
      <c r="F200" s="12" t="n">
        <v>27</v>
      </c>
      <c r="G200" s="12" t="n">
        <v>30.8</v>
      </c>
      <c r="H200" s="16" t="n">
        <v>29.84</v>
      </c>
      <c r="I200" s="12" t="n">
        <v>33</v>
      </c>
      <c r="J200" s="12" t="n">
        <v>28.63</v>
      </c>
      <c r="K200" s="12" t="n">
        <v>4.37</v>
      </c>
      <c r="L200" s="12" t="n">
        <v>9.1</v>
      </c>
      <c r="M200" s="11" t="n">
        <v>63</v>
      </c>
      <c r="N200" s="12" t="n">
        <v>1.8</v>
      </c>
      <c r="O200" s="11" t="n">
        <v>1</v>
      </c>
      <c r="P200" s="11" t="n">
        <v>0</v>
      </c>
      <c r="Q200" s="11" t="n">
        <v>0</v>
      </c>
      <c r="R200" s="25" t="n">
        <v>-0.1</v>
      </c>
      <c r="S200" s="25" t="n">
        <v>1.4</v>
      </c>
    </row>
    <row r="201">
      <c r="A201" s="24" t="n">
        <v>46138</v>
      </c>
      <c r="B201" s="10" t="inlineStr">
        <is>
          <t>2026-04</t>
        </is>
      </c>
      <c r="C201" s="11" t="n">
        <v>4</v>
      </c>
      <c r="D201" s="10" t="inlineStr">
        <is>
          <t>Mùa khô</t>
        </is>
      </c>
      <c r="E201" s="12" t="n">
        <v>37.3</v>
      </c>
      <c r="F201" s="12" t="n">
        <v>27</v>
      </c>
      <c r="G201" s="12" t="n">
        <v>31.1</v>
      </c>
      <c r="H201" s="16" t="n">
        <v>30.04</v>
      </c>
      <c r="I201" s="12" t="n">
        <v>33.51</v>
      </c>
      <c r="J201" s="12" t="n">
        <v>28.69</v>
      </c>
      <c r="K201" s="12" t="n">
        <v>4.82</v>
      </c>
      <c r="L201" s="12" t="n">
        <v>10.3</v>
      </c>
      <c r="M201" s="11" t="n">
        <v>60</v>
      </c>
      <c r="N201" s="12" t="n">
        <v>0.6</v>
      </c>
      <c r="O201" s="11" t="n">
        <v>0</v>
      </c>
      <c r="P201" s="11" t="n">
        <v>0</v>
      </c>
      <c r="Q201" s="11" t="n">
        <v>1</v>
      </c>
      <c r="R201" s="25" t="n">
        <v>1.2</v>
      </c>
      <c r="S201" s="25" t="n">
        <v>2.44</v>
      </c>
    </row>
    <row r="202">
      <c r="A202" s="24" t="n">
        <v>46139</v>
      </c>
      <c r="B202" s="10" t="inlineStr">
        <is>
          <t>2026-04</t>
        </is>
      </c>
      <c r="C202" s="11" t="n">
        <v>4</v>
      </c>
      <c r="D202" s="10" t="inlineStr">
        <is>
          <t>Mùa khô</t>
        </is>
      </c>
      <c r="E202" s="12" t="n">
        <v>36.9</v>
      </c>
      <c r="F202" s="12" t="n">
        <v>26.7</v>
      </c>
      <c r="G202" s="12" t="n">
        <v>31</v>
      </c>
      <c r="H202" s="16" t="n">
        <v>30.23</v>
      </c>
      <c r="I202" s="12" t="n">
        <v>33.58</v>
      </c>
      <c r="J202" s="12" t="n">
        <v>28.49</v>
      </c>
      <c r="K202" s="12" t="n">
        <v>5.09</v>
      </c>
      <c r="L202" s="12" t="n">
        <v>10.2</v>
      </c>
      <c r="M202" s="11" t="n">
        <v>63</v>
      </c>
      <c r="N202" s="12" t="n">
        <v>0</v>
      </c>
      <c r="O202" s="11" t="n">
        <v>0</v>
      </c>
      <c r="P202" s="11" t="n">
        <v>0</v>
      </c>
      <c r="Q202" s="11" t="n">
        <v>0</v>
      </c>
      <c r="R202" s="25" t="n">
        <v>-0.4</v>
      </c>
      <c r="S202" s="25" t="n">
        <v>1.59</v>
      </c>
    </row>
    <row r="203">
      <c r="A203" s="24" t="n">
        <v>46140</v>
      </c>
      <c r="B203" s="10" t="inlineStr">
        <is>
          <t>2026-04</t>
        </is>
      </c>
      <c r="C203" s="11" t="n">
        <v>4</v>
      </c>
      <c r="D203" s="10" t="inlineStr">
        <is>
          <t>Mùa khô</t>
        </is>
      </c>
      <c r="E203" s="12" t="n">
        <v>37.2</v>
      </c>
      <c r="F203" s="12" t="n">
        <v>27.6</v>
      </c>
      <c r="G203" s="12" t="n">
        <v>31.2</v>
      </c>
      <c r="H203" s="16" t="n">
        <v>30.49</v>
      </c>
      <c r="I203" s="12" t="n">
        <v>33.73</v>
      </c>
      <c r="J203" s="12" t="n">
        <v>28.78</v>
      </c>
      <c r="K203" s="12" t="n">
        <v>4.95</v>
      </c>
      <c r="L203" s="12" t="n">
        <v>9.6</v>
      </c>
      <c r="M203" s="11" t="n">
        <v>65</v>
      </c>
      <c r="N203" s="12" t="n">
        <v>0</v>
      </c>
      <c r="O203" s="11" t="n">
        <v>0</v>
      </c>
      <c r="P203" s="11" t="n">
        <v>1</v>
      </c>
      <c r="Q203" s="11" t="n">
        <v>0</v>
      </c>
      <c r="R203" s="25" t="n">
        <v>0.3</v>
      </c>
      <c r="S203" s="25" t="n">
        <v>1.43</v>
      </c>
    </row>
    <row r="204">
      <c r="A204" s="24" t="n">
        <v>46141</v>
      </c>
      <c r="B204" s="10" t="inlineStr">
        <is>
          <t>2026-04</t>
        </is>
      </c>
      <c r="C204" s="11" t="n">
        <v>4</v>
      </c>
      <c r="D204" s="10" t="inlineStr">
        <is>
          <t>Mùa khô</t>
        </is>
      </c>
      <c r="E204" s="12" t="n">
        <v>36.7</v>
      </c>
      <c r="F204" s="12" t="n">
        <v>26.8</v>
      </c>
      <c r="G204" s="12" t="n">
        <v>31.3</v>
      </c>
      <c r="H204" s="16" t="n">
        <v>30.76</v>
      </c>
      <c r="I204" s="12" t="n">
        <v>33.38</v>
      </c>
      <c r="J204" s="12" t="n">
        <v>29.29</v>
      </c>
      <c r="K204" s="12" t="n">
        <v>4.08</v>
      </c>
      <c r="L204" s="12" t="n">
        <v>9.9</v>
      </c>
      <c r="M204" s="11" t="n">
        <v>62</v>
      </c>
      <c r="N204" s="12" t="n">
        <v>1.4</v>
      </c>
      <c r="O204" s="11" t="n">
        <v>1</v>
      </c>
      <c r="P204" s="11" t="n">
        <v>0</v>
      </c>
      <c r="Q204" s="11" t="n">
        <v>0</v>
      </c>
      <c r="R204" s="25" t="n">
        <v>-0.5</v>
      </c>
      <c r="S204" s="25" t="n">
        <v>0.5</v>
      </c>
    </row>
    <row r="205">
      <c r="A205" s="24" t="n">
        <v>46142</v>
      </c>
      <c r="B205" s="10" t="inlineStr">
        <is>
          <t>2026-04</t>
        </is>
      </c>
      <c r="C205" s="11" t="n">
        <v>4</v>
      </c>
      <c r="D205" s="10" t="inlineStr">
        <is>
          <t>Mùa khô</t>
        </is>
      </c>
      <c r="E205" s="12" t="n">
        <v>36.9</v>
      </c>
      <c r="F205" s="12" t="n">
        <v>27.9</v>
      </c>
      <c r="G205" s="12" t="n">
        <v>31.7</v>
      </c>
      <c r="H205" s="16" t="n">
        <v>31.03</v>
      </c>
      <c r="I205" s="12" t="n">
        <v>34.02</v>
      </c>
      <c r="J205" s="12" t="n">
        <v>29.52</v>
      </c>
      <c r="K205" s="12" t="n">
        <v>4.51</v>
      </c>
      <c r="L205" s="12" t="n">
        <v>9</v>
      </c>
      <c r="M205" s="11" t="n">
        <v>61</v>
      </c>
      <c r="N205" s="12" t="n">
        <v>0.6</v>
      </c>
      <c r="O205" s="11" t="n">
        <v>0</v>
      </c>
      <c r="P205" s="11" t="n">
        <v>0</v>
      </c>
      <c r="Q205" s="11" t="n">
        <v>0</v>
      </c>
      <c r="R205" s="25" t="n">
        <v>0.2</v>
      </c>
      <c r="S205" s="25" t="n">
        <v>0.34</v>
      </c>
    </row>
    <row r="206">
      <c r="A206" s="24" t="n">
        <v>46143</v>
      </c>
      <c r="B206" s="10" t="inlineStr">
        <is>
          <t>2026-05</t>
        </is>
      </c>
      <c r="C206" s="11" t="n">
        <v>5</v>
      </c>
      <c r="D206" s="10" t="inlineStr">
        <is>
          <t>Mùa mưa</t>
        </is>
      </c>
      <c r="E206" s="12" t="n">
        <v>39.4</v>
      </c>
      <c r="F206" s="12" t="n">
        <v>27.8</v>
      </c>
      <c r="G206" s="12" t="n">
        <v>31.8</v>
      </c>
      <c r="H206" s="16" t="n">
        <v>31.27</v>
      </c>
      <c r="I206" s="12" t="n">
        <v>34.4</v>
      </c>
      <c r="J206" s="12" t="n">
        <v>29.28</v>
      </c>
      <c r="K206" s="12" t="n">
        <v>5.12</v>
      </c>
      <c r="L206" s="12" t="n">
        <v>11.6</v>
      </c>
      <c r="M206" s="11" t="n">
        <v>56</v>
      </c>
      <c r="N206" s="12" t="n">
        <v>0.5</v>
      </c>
      <c r="O206" s="11" t="n">
        <v>0</v>
      </c>
      <c r="P206" s="11" t="n">
        <v>1</v>
      </c>
      <c r="Q206" s="11" t="n">
        <v>1</v>
      </c>
      <c r="R206" s="25" t="n">
        <v>2.5</v>
      </c>
      <c r="S206" s="25" t="n">
        <v>2.64</v>
      </c>
    </row>
    <row r="207">
      <c r="A207" s="24" t="n">
        <v>46144</v>
      </c>
      <c r="B207" s="10" t="inlineStr">
        <is>
          <t>2026-05</t>
        </is>
      </c>
      <c r="C207" s="11" t="n">
        <v>5</v>
      </c>
      <c r="D207" s="10" t="inlineStr">
        <is>
          <t>Mùa mưa</t>
        </is>
      </c>
      <c r="E207" s="12" t="n">
        <v>36.4</v>
      </c>
      <c r="F207" s="12" t="n">
        <v>27.8</v>
      </c>
      <c r="G207" s="12" t="n">
        <v>30.6</v>
      </c>
      <c r="H207" s="16" t="n">
        <v>31.24</v>
      </c>
      <c r="I207" s="12" t="n">
        <v>32.66</v>
      </c>
      <c r="J207" s="12" t="n">
        <v>28.58</v>
      </c>
      <c r="K207" s="12" t="n">
        <v>4.07</v>
      </c>
      <c r="L207" s="12" t="n">
        <v>8.6</v>
      </c>
      <c r="M207" s="11" t="n">
        <v>66</v>
      </c>
      <c r="N207" s="12" t="n">
        <v>4</v>
      </c>
      <c r="O207" s="11" t="n">
        <v>1</v>
      </c>
      <c r="P207" s="11" t="n">
        <v>0</v>
      </c>
      <c r="Q207" s="11" t="n">
        <v>0</v>
      </c>
      <c r="R207" s="25" t="n">
        <v>-3</v>
      </c>
      <c r="S207" s="25" t="n">
        <v>-0.8100000000000001</v>
      </c>
    </row>
    <row r="208">
      <c r="A208" s="24" t="n">
        <v>46145</v>
      </c>
      <c r="B208" s="10" t="inlineStr">
        <is>
          <t>2026-05</t>
        </is>
      </c>
      <c r="C208" s="11" t="n">
        <v>5</v>
      </c>
      <c r="D208" s="10" t="inlineStr">
        <is>
          <t>Mùa mưa</t>
        </is>
      </c>
      <c r="E208" s="12" t="n">
        <v>34.4</v>
      </c>
      <c r="F208" s="12" t="n">
        <v>27.1</v>
      </c>
      <c r="G208" s="12" t="n">
        <v>29.9</v>
      </c>
      <c r="H208" s="16" t="n">
        <v>31.07</v>
      </c>
      <c r="I208" s="12" t="n">
        <v>31.63</v>
      </c>
      <c r="J208" s="12" t="n">
        <v>28.31</v>
      </c>
      <c r="K208" s="12" t="n">
        <v>3.33</v>
      </c>
      <c r="L208" s="12" t="n">
        <v>7.3</v>
      </c>
      <c r="M208" s="11" t="n">
        <v>73</v>
      </c>
      <c r="N208" s="12" t="n">
        <v>0.1</v>
      </c>
      <c r="O208" s="11" t="n">
        <v>0</v>
      </c>
      <c r="P208" s="11" t="n">
        <v>1</v>
      </c>
      <c r="Q208" s="11" t="n">
        <v>0</v>
      </c>
      <c r="R208" s="25" t="n">
        <v>-2</v>
      </c>
      <c r="S208" s="25" t="n">
        <v>-2.86</v>
      </c>
    </row>
    <row r="209">
      <c r="A209" s="24" t="n">
        <v>46146</v>
      </c>
      <c r="B209" s="10" t="inlineStr">
        <is>
          <t>2026-05</t>
        </is>
      </c>
      <c r="C209" s="11" t="n">
        <v>5</v>
      </c>
      <c r="D209" s="10" t="inlineStr">
        <is>
          <t>Mùa mưa</t>
        </is>
      </c>
      <c r="E209" s="12" t="n">
        <v>35.2</v>
      </c>
      <c r="F209" s="12" t="n">
        <v>24</v>
      </c>
      <c r="G209" s="12" t="n">
        <v>29.8</v>
      </c>
      <c r="H209" s="16" t="n">
        <v>30.9</v>
      </c>
      <c r="I209" s="12" t="n">
        <v>31.89</v>
      </c>
      <c r="J209" s="12" t="n">
        <v>27.8</v>
      </c>
      <c r="K209" s="12" t="n">
        <v>4.09</v>
      </c>
      <c r="L209" s="12" t="n">
        <v>11.2</v>
      </c>
      <c r="M209" s="11" t="n">
        <v>72</v>
      </c>
      <c r="N209" s="12" t="n">
        <v>6.9</v>
      </c>
      <c r="O209" s="11" t="n">
        <v>1</v>
      </c>
      <c r="P209" s="11" t="n">
        <v>1</v>
      </c>
      <c r="Q209" s="11" t="n">
        <v>0</v>
      </c>
      <c r="R209" s="25" t="n">
        <v>0.8</v>
      </c>
      <c r="S209" s="25" t="n">
        <v>-1.64</v>
      </c>
    </row>
    <row r="210">
      <c r="A210" s="24" t="n">
        <v>46147</v>
      </c>
      <c r="B210" s="10" t="inlineStr">
        <is>
          <t>2026-05</t>
        </is>
      </c>
      <c r="C210" s="11" t="n">
        <v>5</v>
      </c>
      <c r="D210" s="10" t="inlineStr">
        <is>
          <t>Mùa mưa</t>
        </is>
      </c>
      <c r="E210" s="12" t="n">
        <v>35.6</v>
      </c>
      <c r="F210" s="12" t="n">
        <v>27.1</v>
      </c>
      <c r="G210" s="12" t="n">
        <v>29.8</v>
      </c>
      <c r="H210" s="16" t="n">
        <v>30.7</v>
      </c>
      <c r="I210" s="12" t="n">
        <v>31.77</v>
      </c>
      <c r="J210" s="12" t="n">
        <v>27.85</v>
      </c>
      <c r="K210" s="12" t="n">
        <v>3.92</v>
      </c>
      <c r="L210" s="12" t="n">
        <v>8.5</v>
      </c>
      <c r="M210" s="11" t="n">
        <v>72</v>
      </c>
      <c r="N210" s="12" t="n">
        <v>8</v>
      </c>
      <c r="O210" s="11" t="n">
        <v>1</v>
      </c>
      <c r="P210" s="11" t="n">
        <v>1</v>
      </c>
      <c r="Q210" s="11" t="n">
        <v>0</v>
      </c>
      <c r="R210" s="25" t="n">
        <v>0.4</v>
      </c>
      <c r="S210" s="25" t="n">
        <v>-1</v>
      </c>
    </row>
    <row r="211">
      <c r="A211" s="24" t="n">
        <v>46148</v>
      </c>
      <c r="B211" s="10" t="inlineStr">
        <is>
          <t>2026-05</t>
        </is>
      </c>
      <c r="C211" s="11" t="n">
        <v>5</v>
      </c>
      <c r="D211" s="10" t="inlineStr">
        <is>
          <t>Mùa mưa</t>
        </is>
      </c>
      <c r="E211" s="12" t="n">
        <v>35</v>
      </c>
      <c r="F211" s="12" t="n">
        <v>26.3</v>
      </c>
      <c r="G211" s="12" t="n">
        <v>29.5</v>
      </c>
      <c r="H211" s="16" t="n">
        <v>30.44</v>
      </c>
      <c r="I211" s="12" t="n">
        <v>31.47</v>
      </c>
      <c r="J211" s="12" t="n">
        <v>27.56</v>
      </c>
      <c r="K211" s="12" t="n">
        <v>3.92</v>
      </c>
      <c r="L211" s="12" t="n">
        <v>8.699999999999999</v>
      </c>
      <c r="M211" s="11" t="n">
        <v>74</v>
      </c>
      <c r="N211" s="12" t="n">
        <v>1.8</v>
      </c>
      <c r="O211" s="11" t="n">
        <v>1</v>
      </c>
      <c r="P211" s="11" t="n">
        <v>0</v>
      </c>
      <c r="Q211" s="11" t="n">
        <v>0</v>
      </c>
      <c r="R211" s="25" t="n">
        <v>-0.6</v>
      </c>
      <c r="S211" s="25" t="n">
        <v>-1.37</v>
      </c>
    </row>
    <row r="212">
      <c r="A212" s="24" t="n">
        <v>46149</v>
      </c>
      <c r="B212" s="10" t="inlineStr">
        <is>
          <t>2026-05</t>
        </is>
      </c>
      <c r="C212" s="11" t="n">
        <v>5</v>
      </c>
      <c r="D212" s="10" t="inlineStr">
        <is>
          <t>Mùa mưa</t>
        </is>
      </c>
      <c r="E212" s="12" t="n">
        <v>36.3</v>
      </c>
      <c r="F212" s="12" t="n">
        <v>27</v>
      </c>
      <c r="G212" s="12" t="n">
        <v>30.8</v>
      </c>
      <c r="H212" s="16" t="n">
        <v>30.31</v>
      </c>
      <c r="I212" s="12" t="n">
        <v>32.98</v>
      </c>
      <c r="J212" s="12" t="n">
        <v>28.66</v>
      </c>
      <c r="K212" s="12" t="n">
        <v>4.32</v>
      </c>
      <c r="L212" s="12" t="n">
        <v>9.300000000000001</v>
      </c>
      <c r="M212" s="11" t="n">
        <v>67</v>
      </c>
      <c r="N212" s="12" t="n">
        <v>0.1</v>
      </c>
      <c r="O212" s="11" t="n">
        <v>0</v>
      </c>
      <c r="P212" s="11" t="n">
        <v>1</v>
      </c>
      <c r="Q212" s="11" t="n">
        <v>0</v>
      </c>
      <c r="R212" s="25" t="n">
        <v>1.3</v>
      </c>
      <c r="S212" s="25" t="n">
        <v>0.17</v>
      </c>
    </row>
    <row r="213">
      <c r="A213" s="24" t="n">
        <v>46150</v>
      </c>
      <c r="B213" s="10" t="inlineStr">
        <is>
          <t>2026-05</t>
        </is>
      </c>
      <c r="C213" s="11" t="n">
        <v>5</v>
      </c>
      <c r="D213" s="10" t="inlineStr">
        <is>
          <t>Mùa mưa</t>
        </is>
      </c>
      <c r="E213" s="12" t="n">
        <v>35.9</v>
      </c>
      <c r="F213" s="12" t="n">
        <v>27.6</v>
      </c>
      <c r="G213" s="12" t="n">
        <v>31.1</v>
      </c>
      <c r="H213" s="16" t="n">
        <v>30.21</v>
      </c>
      <c r="I213" s="12" t="n">
        <v>33.28</v>
      </c>
      <c r="J213" s="12" t="n">
        <v>28.96</v>
      </c>
      <c r="K213" s="12" t="n">
        <v>4.32</v>
      </c>
      <c r="L213" s="12" t="n">
        <v>8.300000000000001</v>
      </c>
      <c r="M213" s="11" t="n">
        <v>62</v>
      </c>
      <c r="N213" s="12" t="n">
        <v>1.6</v>
      </c>
      <c r="O213" s="11" t="n">
        <v>1</v>
      </c>
      <c r="P213" s="11" t="n">
        <v>0</v>
      </c>
      <c r="Q213" s="11" t="n">
        <v>0</v>
      </c>
      <c r="R213" s="25" t="n">
        <v>-0.4</v>
      </c>
      <c r="S213" s="25" t="n">
        <v>-0.14</v>
      </c>
    </row>
    <row r="214">
      <c r="A214" s="24" t="n">
        <v>46151</v>
      </c>
      <c r="B214" s="10" t="inlineStr">
        <is>
          <t>2026-05</t>
        </is>
      </c>
      <c r="C214" s="11" t="n">
        <v>5</v>
      </c>
      <c r="D214" s="10" t="inlineStr">
        <is>
          <t>Mùa mưa</t>
        </is>
      </c>
      <c r="E214" s="12" t="n">
        <v>37.7</v>
      </c>
      <c r="F214" s="12" t="n">
        <v>27.1</v>
      </c>
      <c r="G214" s="12" t="n">
        <v>31.3</v>
      </c>
      <c r="H214" s="16" t="n">
        <v>30.31</v>
      </c>
      <c r="I214" s="12" t="n">
        <v>33.53</v>
      </c>
      <c r="J214" s="12" t="n">
        <v>29.15</v>
      </c>
      <c r="K214" s="12" t="n">
        <v>4.38</v>
      </c>
      <c r="L214" s="12" t="n">
        <v>10.6</v>
      </c>
      <c r="M214" s="11" t="n">
        <v>62</v>
      </c>
      <c r="N214" s="12" t="n">
        <v>0.5</v>
      </c>
      <c r="O214" s="11" t="n">
        <v>0</v>
      </c>
      <c r="P214" s="11" t="n">
        <v>1</v>
      </c>
      <c r="Q214" s="11" t="n">
        <v>1</v>
      </c>
      <c r="R214" s="25" t="n">
        <v>1.8</v>
      </c>
      <c r="S214" s="25" t="n">
        <v>2.16</v>
      </c>
    </row>
    <row r="215">
      <c r="A215" s="24" t="n">
        <v>46152</v>
      </c>
      <c r="B215" s="10" t="inlineStr">
        <is>
          <t>2026-05</t>
        </is>
      </c>
      <c r="C215" s="11" t="n">
        <v>5</v>
      </c>
      <c r="D215" s="10" t="inlineStr">
        <is>
          <t>Mùa mưa</t>
        </is>
      </c>
      <c r="E215" s="12" t="n">
        <v>38.5</v>
      </c>
      <c r="F215" s="12" t="n">
        <v>28.3</v>
      </c>
      <c r="G215" s="12" t="n">
        <v>31.9</v>
      </c>
      <c r="H215" s="16" t="n">
        <v>30.6</v>
      </c>
      <c r="I215" s="12" t="n">
        <v>34.07</v>
      </c>
      <c r="J215" s="12" t="n">
        <v>29.78</v>
      </c>
      <c r="K215" s="12" t="n">
        <v>4.29</v>
      </c>
      <c r="L215" s="12" t="n">
        <v>10.2</v>
      </c>
      <c r="M215" s="11" t="n">
        <v>58</v>
      </c>
      <c r="N215" s="12" t="n">
        <v>4.1</v>
      </c>
      <c r="O215" s="11" t="n">
        <v>1</v>
      </c>
      <c r="P215" s="11" t="n">
        <v>0</v>
      </c>
      <c r="Q215" s="11" t="n">
        <v>1</v>
      </c>
      <c r="R215" s="25" t="n">
        <v>0.8</v>
      </c>
      <c r="S215" s="25" t="n">
        <v>2.77</v>
      </c>
    </row>
    <row r="216">
      <c r="A216" s="24" t="n">
        <v>46153</v>
      </c>
      <c r="B216" s="10" t="inlineStr">
        <is>
          <t>2026-05</t>
        </is>
      </c>
      <c r="C216" s="11" t="n">
        <v>5</v>
      </c>
      <c r="D216" s="10" t="inlineStr">
        <is>
          <t>Mùa mưa</t>
        </is>
      </c>
      <c r="E216" s="12" t="n">
        <v>37.9</v>
      </c>
      <c r="F216" s="12" t="n">
        <v>26</v>
      </c>
      <c r="G216" s="12" t="n">
        <v>31.6</v>
      </c>
      <c r="H216" s="16" t="n">
        <v>30.86</v>
      </c>
      <c r="I216" s="12" t="n">
        <v>33.71</v>
      </c>
      <c r="J216" s="12" t="n">
        <v>29.46</v>
      </c>
      <c r="K216" s="12" t="n">
        <v>4.25</v>
      </c>
      <c r="L216" s="12" t="n">
        <v>11.9</v>
      </c>
      <c r="M216" s="11" t="n">
        <v>62</v>
      </c>
      <c r="N216" s="12" t="n">
        <v>0.4</v>
      </c>
      <c r="O216" s="11" t="n">
        <v>0</v>
      </c>
      <c r="P216" s="11" t="n">
        <v>0</v>
      </c>
      <c r="Q216" s="11" t="n">
        <v>0</v>
      </c>
      <c r="R216" s="25" t="n">
        <v>-0.6</v>
      </c>
      <c r="S216" s="25" t="n">
        <v>1.59</v>
      </c>
    </row>
    <row r="217">
      <c r="A217" s="24" t="n">
        <v>46154</v>
      </c>
      <c r="B217" s="10" t="inlineStr">
        <is>
          <t>2026-05</t>
        </is>
      </c>
      <c r="C217" s="11" t="n">
        <v>5</v>
      </c>
      <c r="D217" s="10" t="inlineStr">
        <is>
          <t>Mùa mưa</t>
        </is>
      </c>
      <c r="E217" s="12" t="n">
        <v>37.4</v>
      </c>
      <c r="F217" s="12" t="n">
        <v>28.3</v>
      </c>
      <c r="G217" s="12" t="n">
        <v>31.5</v>
      </c>
      <c r="H217" s="16" t="n">
        <v>31.1</v>
      </c>
      <c r="I217" s="12" t="n">
        <v>33.78</v>
      </c>
      <c r="J217" s="12" t="n">
        <v>29.31</v>
      </c>
      <c r="K217" s="12" t="n">
        <v>4.47</v>
      </c>
      <c r="L217" s="12" t="n">
        <v>9.1</v>
      </c>
      <c r="M217" s="11" t="n">
        <v>62</v>
      </c>
      <c r="N217" s="12" t="n">
        <v>0</v>
      </c>
      <c r="O217" s="11" t="n">
        <v>0</v>
      </c>
      <c r="P217" s="11" t="n">
        <v>0</v>
      </c>
      <c r="Q217" s="11" t="n">
        <v>0</v>
      </c>
      <c r="R217" s="25" t="n">
        <v>-0.5</v>
      </c>
      <c r="S217" s="25" t="n">
        <v>0.7</v>
      </c>
    </row>
    <row r="218">
      <c r="A218" s="24" t="n">
        <v>46155</v>
      </c>
      <c r="B218" s="10" t="inlineStr">
        <is>
          <t>2026-05</t>
        </is>
      </c>
      <c r="C218" s="11" t="n">
        <v>5</v>
      </c>
      <c r="D218" s="10" t="inlineStr">
        <is>
          <t>Mùa mưa</t>
        </is>
      </c>
      <c r="E218" s="12" t="n">
        <v>36.6</v>
      </c>
      <c r="F218" s="12" t="n">
        <v>27.8</v>
      </c>
      <c r="G218" s="12" t="n">
        <v>31.7</v>
      </c>
      <c r="H218" s="16" t="n">
        <v>31.41</v>
      </c>
      <c r="I218" s="12" t="n">
        <v>33.88</v>
      </c>
      <c r="J218" s="12" t="n">
        <v>29.47</v>
      </c>
      <c r="K218" s="12" t="n">
        <v>4.41</v>
      </c>
      <c r="L218" s="12" t="n">
        <v>8.800000000000001</v>
      </c>
      <c r="M218" s="11" t="n">
        <v>64</v>
      </c>
      <c r="N218" s="12" t="n">
        <v>0.5</v>
      </c>
      <c r="O218" s="11" t="n">
        <v>0</v>
      </c>
      <c r="P218" s="11" t="n">
        <v>1</v>
      </c>
      <c r="Q218" s="11" t="n">
        <v>0</v>
      </c>
      <c r="R218" s="25" t="n">
        <v>-0.8</v>
      </c>
      <c r="S218" s="25" t="n">
        <v>-0.36</v>
      </c>
    </row>
    <row r="219">
      <c r="A219" s="24" t="n">
        <v>46156</v>
      </c>
      <c r="B219" s="10" t="inlineStr">
        <is>
          <t>2026-05</t>
        </is>
      </c>
      <c r="C219" s="11" t="n">
        <v>5</v>
      </c>
      <c r="D219" s="10" t="inlineStr">
        <is>
          <t>Mùa mưa</t>
        </is>
      </c>
      <c r="E219" s="12" t="n">
        <v>37.5</v>
      </c>
      <c r="F219" s="12" t="n">
        <v>27.6</v>
      </c>
      <c r="G219" s="12" t="n">
        <v>32</v>
      </c>
      <c r="H219" s="16" t="n">
        <v>31.59</v>
      </c>
      <c r="I219" s="12" t="n">
        <v>34.08</v>
      </c>
      <c r="J219" s="12" t="n">
        <v>29.95</v>
      </c>
      <c r="K219" s="12" t="n">
        <v>4.13</v>
      </c>
      <c r="L219" s="12" t="n">
        <v>9.9</v>
      </c>
      <c r="M219" s="11" t="n">
        <v>62</v>
      </c>
      <c r="N219" s="12" t="n">
        <v>1.9</v>
      </c>
      <c r="O219" s="11" t="n">
        <v>1</v>
      </c>
      <c r="P219" s="11" t="n">
        <v>1</v>
      </c>
      <c r="Q219" s="11" t="n">
        <v>0</v>
      </c>
      <c r="R219" s="25" t="n">
        <v>0.9</v>
      </c>
      <c r="S219" s="25" t="n">
        <v>0.31</v>
      </c>
    </row>
    <row r="220">
      <c r="A220" s="24" t="n">
        <v>46157</v>
      </c>
      <c r="B220" s="10" t="inlineStr">
        <is>
          <t>2026-05</t>
        </is>
      </c>
      <c r="C220" s="11" t="n">
        <v>5</v>
      </c>
      <c r="D220" s="10" t="inlineStr">
        <is>
          <t>Mùa mưa</t>
        </is>
      </c>
      <c r="E220" s="12" t="n">
        <v>37.4</v>
      </c>
      <c r="F220" s="12" t="n">
        <v>28.2</v>
      </c>
      <c r="G220" s="12" t="n">
        <v>32</v>
      </c>
      <c r="H220" s="16" t="n">
        <v>31.71</v>
      </c>
      <c r="I220" s="12" t="n">
        <v>33.95</v>
      </c>
      <c r="J220" s="12" t="n">
        <v>30.18</v>
      </c>
      <c r="K220" s="12" t="n">
        <v>3.77</v>
      </c>
      <c r="L220" s="12" t="n">
        <v>9.199999999999999</v>
      </c>
      <c r="M220" s="11" t="n">
        <v>64</v>
      </c>
      <c r="N220" s="12" t="n">
        <v>5.8</v>
      </c>
      <c r="O220" s="11" t="n">
        <v>1</v>
      </c>
      <c r="P220" s="11" t="n">
        <v>1</v>
      </c>
      <c r="Q220" s="11" t="n">
        <v>0</v>
      </c>
      <c r="R220" s="25" t="n">
        <v>-0.1</v>
      </c>
      <c r="S220" s="25" t="n">
        <v>0.04</v>
      </c>
    </row>
    <row r="221">
      <c r="A221" s="24" t="n">
        <v>46158</v>
      </c>
      <c r="B221" s="10" t="inlineStr">
        <is>
          <t>2026-05</t>
        </is>
      </c>
      <c r="C221" s="11" t="n">
        <v>5</v>
      </c>
      <c r="D221" s="10" t="inlineStr">
        <is>
          <t>Mùa mưa</t>
        </is>
      </c>
      <c r="E221" s="12" t="n">
        <v>35.9</v>
      </c>
      <c r="F221" s="12" t="n">
        <v>27.5</v>
      </c>
      <c r="G221" s="12" t="n">
        <v>31</v>
      </c>
      <c r="H221" s="16" t="n">
        <v>31.67</v>
      </c>
      <c r="I221" s="12" t="n">
        <v>32.81</v>
      </c>
      <c r="J221" s="12" t="n">
        <v>29.32</v>
      </c>
      <c r="K221" s="12" t="n">
        <v>3.48</v>
      </c>
      <c r="L221" s="12" t="n">
        <v>8.4</v>
      </c>
      <c r="M221" s="11" t="n">
        <v>71</v>
      </c>
      <c r="N221" s="12" t="n">
        <v>14.9</v>
      </c>
      <c r="O221" s="11" t="n">
        <v>1</v>
      </c>
      <c r="P221" s="11" t="n">
        <v>1</v>
      </c>
      <c r="Q221" s="11" t="n">
        <v>0</v>
      </c>
      <c r="R221" s="25" t="n">
        <v>-1.5</v>
      </c>
      <c r="S221" s="25" t="n">
        <v>-1.67</v>
      </c>
    </row>
    <row r="222">
      <c r="A222" s="24" t="n">
        <v>46159</v>
      </c>
      <c r="B222" s="10" t="inlineStr">
        <is>
          <t>2026-05</t>
        </is>
      </c>
      <c r="C222" s="11" t="n">
        <v>5</v>
      </c>
      <c r="D222" s="10" t="inlineStr">
        <is>
          <t>Mùa mưa</t>
        </is>
      </c>
      <c r="E222" s="12" t="n">
        <v>35.9</v>
      </c>
      <c r="F222" s="12" t="n">
        <v>26.2</v>
      </c>
      <c r="G222" s="12" t="n">
        <v>29.7</v>
      </c>
      <c r="H222" s="16" t="n">
        <v>31.36</v>
      </c>
      <c r="I222" s="12" t="n">
        <v>32.25</v>
      </c>
      <c r="J222" s="12" t="n">
        <v>27.22</v>
      </c>
      <c r="K222" s="12" t="n">
        <v>5.03</v>
      </c>
      <c r="L222" s="12" t="n">
        <v>9.699999999999999</v>
      </c>
      <c r="M222" s="11" t="n">
        <v>77</v>
      </c>
      <c r="N222" s="12" t="n">
        <v>8.800000000000001</v>
      </c>
      <c r="O222" s="11" t="n">
        <v>1</v>
      </c>
      <c r="P222" s="11" t="n">
        <v>1</v>
      </c>
      <c r="Q222" s="11" t="n">
        <v>0</v>
      </c>
      <c r="R222" s="25" t="n">
        <v>0</v>
      </c>
      <c r="S222" s="25" t="n">
        <v>-1.41</v>
      </c>
    </row>
    <row r="223">
      <c r="A223" s="24" t="n">
        <v>46160</v>
      </c>
      <c r="B223" s="10" t="inlineStr">
        <is>
          <t>2026-05</t>
        </is>
      </c>
      <c r="C223" s="11" t="n">
        <v>5</v>
      </c>
      <c r="D223" s="10" t="inlineStr">
        <is>
          <t>Mùa mưa</t>
        </is>
      </c>
      <c r="E223" s="12" t="n">
        <v>34.7</v>
      </c>
      <c r="F223" s="12" t="n">
        <v>26.5</v>
      </c>
      <c r="G223" s="12" t="n">
        <v>29.4</v>
      </c>
      <c r="H223" s="16" t="n">
        <v>31.04</v>
      </c>
      <c r="I223" s="12" t="n">
        <v>31.03</v>
      </c>
      <c r="J223" s="12" t="n">
        <v>27.78</v>
      </c>
      <c r="K223" s="12" t="n">
        <v>3.25</v>
      </c>
      <c r="L223" s="12" t="n">
        <v>8.199999999999999</v>
      </c>
      <c r="M223" s="11" t="n">
        <v>77</v>
      </c>
      <c r="N223" s="12" t="n">
        <v>4.7</v>
      </c>
      <c r="O223" s="11" t="n">
        <v>1</v>
      </c>
      <c r="P223" s="11" t="n">
        <v>1</v>
      </c>
      <c r="Q223" s="11" t="n">
        <v>0</v>
      </c>
      <c r="R223" s="25" t="n">
        <v>-1.2</v>
      </c>
      <c r="S223" s="25" t="n">
        <v>-2.24</v>
      </c>
    </row>
    <row r="224">
      <c r="A224" s="24" t="n">
        <v>46161</v>
      </c>
      <c r="B224" s="10" t="inlineStr">
        <is>
          <t>2026-05</t>
        </is>
      </c>
      <c r="C224" s="11" t="n">
        <v>5</v>
      </c>
      <c r="D224" s="10" t="inlineStr">
        <is>
          <t>Mùa mưa</t>
        </is>
      </c>
      <c r="E224" s="12" t="n">
        <v>33.1</v>
      </c>
      <c r="F224" s="12" t="n">
        <v>26.7</v>
      </c>
      <c r="G224" s="12" t="n">
        <v>29.2</v>
      </c>
      <c r="H224" s="16" t="n">
        <v>30.71</v>
      </c>
      <c r="I224" s="12" t="n">
        <v>30.88</v>
      </c>
      <c r="J224" s="12" t="n">
        <v>27.58</v>
      </c>
      <c r="K224" s="12" t="n">
        <v>3.29</v>
      </c>
      <c r="L224" s="12" t="n">
        <v>6.4</v>
      </c>
      <c r="M224" s="11" t="n">
        <v>80</v>
      </c>
      <c r="N224" s="12" t="n">
        <v>7.9</v>
      </c>
      <c r="O224" s="11" t="n">
        <v>1</v>
      </c>
      <c r="P224" s="11" t="n">
        <v>1</v>
      </c>
      <c r="Q224" s="11" t="n">
        <v>0</v>
      </c>
      <c r="R224" s="25" t="n">
        <v>-1.6</v>
      </c>
      <c r="S224" s="25" t="n">
        <v>-3.39</v>
      </c>
    </row>
    <row r="225">
      <c r="A225" s="24" t="n">
        <v>46162</v>
      </c>
      <c r="B225" s="10" t="inlineStr">
        <is>
          <t>2026-05</t>
        </is>
      </c>
      <c r="C225" s="11" t="n">
        <v>5</v>
      </c>
      <c r="D225" s="10" t="inlineStr">
        <is>
          <t>Mùa mưa</t>
        </is>
      </c>
      <c r="E225" s="12" t="n">
        <v>34.1</v>
      </c>
      <c r="F225" s="12" t="n">
        <v>27.4</v>
      </c>
      <c r="G225" s="12" t="n">
        <v>29.7</v>
      </c>
      <c r="H225" s="16" t="n">
        <v>30.43</v>
      </c>
      <c r="I225" s="12" t="n">
        <v>31.51</v>
      </c>
      <c r="J225" s="12" t="n">
        <v>27.84</v>
      </c>
      <c r="K225" s="12" t="n">
        <v>3.67</v>
      </c>
      <c r="L225" s="12" t="n">
        <v>6.7</v>
      </c>
      <c r="M225" s="11" t="n">
        <v>77</v>
      </c>
      <c r="N225" s="12" t="n">
        <v>2.5</v>
      </c>
      <c r="O225" s="11" t="n">
        <v>1</v>
      </c>
      <c r="P225" s="11" t="n">
        <v>1</v>
      </c>
      <c r="Q225" s="11" t="n">
        <v>0</v>
      </c>
      <c r="R225" s="25" t="n">
        <v>1</v>
      </c>
      <c r="S225" s="25" t="n">
        <v>-1.77</v>
      </c>
    </row>
    <row r="226">
      <c r="A226" s="24" t="n">
        <v>46163</v>
      </c>
      <c r="B226" s="10" t="inlineStr">
        <is>
          <t>2026-05</t>
        </is>
      </c>
      <c r="C226" s="11" t="n">
        <v>5</v>
      </c>
      <c r="D226" s="10" t="inlineStr">
        <is>
          <t>Mùa mưa</t>
        </is>
      </c>
      <c r="E226" s="12" t="n">
        <v>31.7</v>
      </c>
      <c r="F226" s="12" t="n">
        <v>25.1</v>
      </c>
      <c r="G226" s="12" t="n">
        <v>28.5</v>
      </c>
      <c r="H226" s="16" t="n">
        <v>29.93</v>
      </c>
      <c r="I226" s="12" t="n">
        <v>29.38</v>
      </c>
      <c r="J226" s="12" t="n">
        <v>27.76</v>
      </c>
      <c r="K226" s="12" t="n">
        <v>1.62</v>
      </c>
      <c r="L226" s="12" t="n">
        <v>6.6</v>
      </c>
      <c r="M226" s="11" t="n">
        <v>83</v>
      </c>
      <c r="N226" s="12" t="n">
        <v>23.2</v>
      </c>
      <c r="O226" s="11" t="n">
        <v>1</v>
      </c>
      <c r="P226" s="11" t="n">
        <v>1</v>
      </c>
      <c r="Q226" s="11" t="n">
        <v>0</v>
      </c>
      <c r="R226" s="25" t="n">
        <v>-2.4</v>
      </c>
      <c r="S226" s="25" t="n">
        <v>-3.81</v>
      </c>
    </row>
    <row r="227">
      <c r="A227" s="24" t="n">
        <v>46164</v>
      </c>
      <c r="B227" s="10" t="inlineStr">
        <is>
          <t>2026-05</t>
        </is>
      </c>
      <c r="C227" s="11" t="n">
        <v>5</v>
      </c>
      <c r="D227" s="10" t="inlineStr">
        <is>
          <t>Mùa mưa</t>
        </is>
      </c>
      <c r="E227" s="12" t="n">
        <v>34.3</v>
      </c>
      <c r="F227" s="12" t="n">
        <v>26.5</v>
      </c>
      <c r="G227" s="12" t="n">
        <v>29.7</v>
      </c>
      <c r="H227" s="16" t="n">
        <v>29.6</v>
      </c>
      <c r="I227" s="12" t="n">
        <v>31.68</v>
      </c>
      <c r="J227" s="12" t="n">
        <v>27.72</v>
      </c>
      <c r="K227" s="12" t="n">
        <v>3.96</v>
      </c>
      <c r="L227" s="12" t="n">
        <v>7.8</v>
      </c>
      <c r="M227" s="11" t="n">
        <v>77</v>
      </c>
      <c r="N227" s="12" t="n">
        <v>1.2</v>
      </c>
      <c r="O227" s="11" t="n">
        <v>1</v>
      </c>
      <c r="P227" s="11" t="n">
        <v>0</v>
      </c>
      <c r="Q227" s="11" t="n">
        <v>1</v>
      </c>
      <c r="R227" s="25" t="n">
        <v>2.6</v>
      </c>
      <c r="S227" s="25" t="n">
        <v>-0.39</v>
      </c>
    </row>
    <row r="228">
      <c r="A228" s="24" t="n">
        <v>46165</v>
      </c>
      <c r="B228" s="10" t="inlineStr">
        <is>
          <t>2026-05</t>
        </is>
      </c>
      <c r="C228" s="11" t="n">
        <v>5</v>
      </c>
      <c r="D228" s="10" t="inlineStr">
        <is>
          <t>Mùa mưa</t>
        </is>
      </c>
      <c r="E228" s="12" t="n">
        <v>35</v>
      </c>
      <c r="F228" s="12" t="n">
        <v>26.4</v>
      </c>
      <c r="G228" s="12" t="n">
        <v>30.1</v>
      </c>
      <c r="H228" s="16" t="n">
        <v>29.47</v>
      </c>
      <c r="I228" s="12" t="n">
        <v>32.35</v>
      </c>
      <c r="J228" s="12" t="n">
        <v>27.97</v>
      </c>
      <c r="K228" s="12" t="n">
        <v>4.38</v>
      </c>
      <c r="L228" s="12" t="n">
        <v>8.6</v>
      </c>
      <c r="M228" s="11" t="n">
        <v>74</v>
      </c>
      <c r="N228" s="12" t="n">
        <v>0.6</v>
      </c>
      <c r="O228" s="11" t="n">
        <v>0</v>
      </c>
      <c r="P228" s="11" t="n">
        <v>1</v>
      </c>
      <c r="Q228" s="11" t="n">
        <v>0</v>
      </c>
      <c r="R228" s="25" t="n">
        <v>0.7</v>
      </c>
      <c r="S228" s="25" t="n">
        <v>0.76</v>
      </c>
    </row>
    <row r="229">
      <c r="A229" s="24" t="n">
        <v>46166</v>
      </c>
      <c r="B229" s="10" t="inlineStr">
        <is>
          <t>2026-05</t>
        </is>
      </c>
      <c r="C229" s="11" t="n">
        <v>5</v>
      </c>
      <c r="D229" s="10" t="inlineStr">
        <is>
          <t>Mùa mưa</t>
        </is>
      </c>
      <c r="E229" s="12" t="n">
        <v>35.2</v>
      </c>
      <c r="F229" s="12" t="n">
        <v>27.1</v>
      </c>
      <c r="G229" s="12" t="n">
        <v>30.2</v>
      </c>
      <c r="H229" s="16" t="n">
        <v>29.54</v>
      </c>
      <c r="I229" s="12" t="n">
        <v>32.38</v>
      </c>
      <c r="J229" s="12" t="n">
        <v>28.04</v>
      </c>
      <c r="K229" s="12" t="n">
        <v>4.34</v>
      </c>
      <c r="L229" s="12" t="n">
        <v>8.1</v>
      </c>
      <c r="M229" s="11" t="n">
        <v>75</v>
      </c>
      <c r="N229" s="12" t="n">
        <v>1.2</v>
      </c>
      <c r="O229" s="11" t="n">
        <v>1</v>
      </c>
      <c r="P229" s="11" t="n">
        <v>0</v>
      </c>
      <c r="Q229" s="11" t="n">
        <v>0</v>
      </c>
      <c r="R229" s="25" t="n">
        <v>0.2</v>
      </c>
      <c r="S229" s="25" t="n">
        <v>1.09</v>
      </c>
    </row>
    <row r="230">
      <c r="A230" s="24" t="n">
        <v>46167</v>
      </c>
      <c r="B230" s="10" t="inlineStr">
        <is>
          <t>2026-05</t>
        </is>
      </c>
      <c r="C230" s="11" t="n">
        <v>5</v>
      </c>
      <c r="D230" s="10" t="inlineStr">
        <is>
          <t>Mùa mưa</t>
        </is>
      </c>
      <c r="E230" s="12" t="n">
        <v>35.7</v>
      </c>
      <c r="F230" s="12" t="n">
        <v>26.9</v>
      </c>
      <c r="G230" s="12" t="n">
        <v>30.4</v>
      </c>
      <c r="H230" s="16" t="n">
        <v>29.69</v>
      </c>
      <c r="I230" s="12" t="n">
        <v>32.48</v>
      </c>
      <c r="J230" s="12" t="n">
        <v>28.47</v>
      </c>
      <c r="K230" s="12" t="n">
        <v>4.01</v>
      </c>
      <c r="L230" s="12" t="n">
        <v>8.800000000000001</v>
      </c>
      <c r="M230" s="11" t="n">
        <v>74</v>
      </c>
      <c r="N230" s="12" t="n">
        <v>0.9</v>
      </c>
      <c r="O230" s="11" t="n">
        <v>0</v>
      </c>
      <c r="P230" s="11" t="n">
        <v>1</v>
      </c>
      <c r="Q230" s="11" t="n">
        <v>0</v>
      </c>
      <c r="R230" s="25" t="n">
        <v>0.5</v>
      </c>
      <c r="S230" s="25" t="n">
        <v>1.69</v>
      </c>
    </row>
    <row r="231">
      <c r="A231" s="24" t="n">
        <v>46168</v>
      </c>
      <c r="B231" s="10" t="inlineStr">
        <is>
          <t>2026-05</t>
        </is>
      </c>
      <c r="C231" s="11" t="n">
        <v>5</v>
      </c>
      <c r="D231" s="10" t="inlineStr">
        <is>
          <t>Mùa mưa</t>
        </is>
      </c>
      <c r="E231" s="12" t="n">
        <v>35</v>
      </c>
      <c r="F231" s="12" t="n">
        <v>27</v>
      </c>
      <c r="G231" s="12" t="n">
        <v>30.3</v>
      </c>
      <c r="H231" s="16" t="n">
        <v>29.84</v>
      </c>
      <c r="I231" s="12" t="n">
        <v>32.12</v>
      </c>
      <c r="J231" s="12" t="n">
        <v>28.53</v>
      </c>
      <c r="K231" s="12" t="n">
        <v>3.58</v>
      </c>
      <c r="L231" s="12" t="n">
        <v>8</v>
      </c>
      <c r="M231" s="11" t="n">
        <v>72</v>
      </c>
      <c r="N231" s="12" t="n">
        <v>4.6</v>
      </c>
      <c r="O231" s="11" t="n">
        <v>1</v>
      </c>
      <c r="P231" s="11" t="n">
        <v>0</v>
      </c>
      <c r="Q231" s="11" t="n">
        <v>0</v>
      </c>
      <c r="R231" s="25" t="n">
        <v>-0.7</v>
      </c>
      <c r="S231" s="25" t="n">
        <v>0.84</v>
      </c>
    </row>
    <row r="232">
      <c r="A232" s="24" t="n">
        <v>46169</v>
      </c>
      <c r="B232" s="10" t="inlineStr">
        <is>
          <t>2026-05</t>
        </is>
      </c>
      <c r="C232" s="11" t="n">
        <v>5</v>
      </c>
      <c r="D232" s="10" t="inlineStr">
        <is>
          <t>Mùa mưa</t>
        </is>
      </c>
      <c r="E232" s="12" t="n">
        <v>34.4</v>
      </c>
      <c r="F232" s="12" t="n">
        <v>27.4</v>
      </c>
      <c r="G232" s="12" t="n">
        <v>30.5</v>
      </c>
      <c r="H232" s="16" t="n">
        <v>29.96</v>
      </c>
      <c r="I232" s="12" t="n">
        <v>31.84</v>
      </c>
      <c r="J232" s="12" t="n">
        <v>29.22</v>
      </c>
      <c r="K232" s="12" t="n">
        <v>2.63</v>
      </c>
      <c r="L232" s="12" t="n">
        <v>7</v>
      </c>
      <c r="M232" s="11" t="n">
        <v>72</v>
      </c>
      <c r="N232" s="12" t="n">
        <v>0.6</v>
      </c>
      <c r="O232" s="11" t="n">
        <v>0</v>
      </c>
      <c r="P232" s="11" t="n">
        <v>1</v>
      </c>
      <c r="Q232" s="11" t="n">
        <v>0</v>
      </c>
      <c r="R232" s="25" t="n">
        <v>-0.6</v>
      </c>
      <c r="S232" s="25" t="n">
        <v>-0.03</v>
      </c>
    </row>
    <row r="233">
      <c r="A233" s="24" t="n">
        <v>46170</v>
      </c>
      <c r="B233" s="10" t="inlineStr">
        <is>
          <t>2026-05</t>
        </is>
      </c>
      <c r="C233" s="11" t="n">
        <v>5</v>
      </c>
      <c r="D233" s="10" t="inlineStr">
        <is>
          <t>Mùa mưa</t>
        </is>
      </c>
      <c r="E233" s="12" t="n">
        <v>33.6</v>
      </c>
      <c r="F233" s="12" t="n">
        <v>24.6</v>
      </c>
      <c r="G233" s="12" t="n">
        <v>29.1</v>
      </c>
      <c r="H233" s="16" t="n">
        <v>30.04</v>
      </c>
      <c r="I233" s="12" t="n">
        <v>29.62</v>
      </c>
      <c r="J233" s="12" t="n">
        <v>28.53</v>
      </c>
      <c r="K233" s="12" t="n">
        <v>1.09</v>
      </c>
      <c r="L233" s="12" t="n">
        <v>9</v>
      </c>
      <c r="M233" s="11" t="n">
        <v>81</v>
      </c>
      <c r="N233" s="12" t="n">
        <v>7.6</v>
      </c>
      <c r="O233" s="11" t="n">
        <v>1</v>
      </c>
      <c r="P233" s="11" t="n">
        <v>1</v>
      </c>
      <c r="Q233" s="11" t="n">
        <v>0</v>
      </c>
      <c r="R233" s="25" t="n">
        <v>-0.8</v>
      </c>
      <c r="S233" s="25" t="n">
        <v>-0.87</v>
      </c>
    </row>
    <row r="234">
      <c r="A234" s="24" t="n">
        <v>46171</v>
      </c>
      <c r="B234" s="10" t="inlineStr">
        <is>
          <t>2026-05</t>
        </is>
      </c>
      <c r="C234" s="11" t="n">
        <v>5</v>
      </c>
      <c r="D234" s="10" t="inlineStr">
        <is>
          <t>Mùa mưa</t>
        </is>
      </c>
      <c r="E234" s="12" t="n">
        <v>27.2</v>
      </c>
      <c r="F234" s="12" t="n">
        <v>24.5</v>
      </c>
      <c r="G234" s="12" t="n">
        <v>26</v>
      </c>
      <c r="H234" s="16" t="n">
        <v>29.51</v>
      </c>
      <c r="I234" s="12" t="n">
        <v>25.74</v>
      </c>
      <c r="J234" s="12" t="n">
        <v>26.35</v>
      </c>
      <c r="K234" s="12" t="n">
        <v>-0.61</v>
      </c>
      <c r="L234" s="12" t="n">
        <v>2.7</v>
      </c>
      <c r="M234" s="11" t="n">
        <v>92</v>
      </c>
      <c r="N234" s="12" t="n">
        <v>21.6</v>
      </c>
      <c r="O234" s="11" t="n">
        <v>1</v>
      </c>
      <c r="P234" s="11" t="n">
        <v>0</v>
      </c>
      <c r="Q234" s="11" t="n">
        <v>0</v>
      </c>
      <c r="R234" s="25" t="n">
        <v>-6.4</v>
      </c>
      <c r="S234" s="25" t="n">
        <v>-7.54</v>
      </c>
    </row>
    <row r="235">
      <c r="A235" s="24" t="n">
        <v>46172</v>
      </c>
      <c r="B235" s="10" t="inlineStr">
        <is>
          <t>2026-05</t>
        </is>
      </c>
      <c r="C235" s="11" t="n">
        <v>5</v>
      </c>
      <c r="D235" s="10" t="inlineStr">
        <is>
          <t>Mùa mưa</t>
        </is>
      </c>
      <c r="E235" s="12" t="n">
        <v>30.6</v>
      </c>
      <c r="F235" s="12" t="n">
        <v>25.3</v>
      </c>
      <c r="G235" s="12" t="n">
        <v>27.2</v>
      </c>
      <c r="H235" s="16" t="n">
        <v>29.1</v>
      </c>
      <c r="I235" s="12" t="n">
        <v>28.4</v>
      </c>
      <c r="J235" s="12" t="n">
        <v>26.06</v>
      </c>
      <c r="K235" s="12" t="n">
        <v>2.34</v>
      </c>
      <c r="L235" s="12" t="n">
        <v>5.3</v>
      </c>
      <c r="M235" s="11" t="n">
        <v>82</v>
      </c>
      <c r="N235" s="12" t="n">
        <v>0.8</v>
      </c>
      <c r="O235" s="11" t="n">
        <v>0</v>
      </c>
      <c r="P235" s="11" t="n">
        <v>1</v>
      </c>
      <c r="Q235" s="11" t="n">
        <v>1</v>
      </c>
      <c r="R235" s="25" t="n">
        <v>3.4</v>
      </c>
      <c r="S235" s="25" t="n">
        <v>-3.13</v>
      </c>
    </row>
    <row r="236">
      <c r="A236" s="24" t="n">
        <v>46173</v>
      </c>
      <c r="B236" s="10" t="inlineStr">
        <is>
          <t>2026-05</t>
        </is>
      </c>
      <c r="C236" s="11" t="n">
        <v>5</v>
      </c>
      <c r="D236" s="10" t="inlineStr">
        <is>
          <t>Mùa mưa</t>
        </is>
      </c>
      <c r="E236" s="12" t="n">
        <v>28.8</v>
      </c>
      <c r="F236" s="12" t="n">
        <v>24.1</v>
      </c>
      <c r="G236" s="12" t="n">
        <v>26.1</v>
      </c>
      <c r="H236" s="16" t="n">
        <v>28.51</v>
      </c>
      <c r="I236" s="12" t="n">
        <v>26.98</v>
      </c>
      <c r="J236" s="12" t="n">
        <v>25.38</v>
      </c>
      <c r="K236" s="12" t="n">
        <v>1.61</v>
      </c>
      <c r="L236" s="12" t="n">
        <v>4.7</v>
      </c>
      <c r="M236" s="11" t="n">
        <v>86</v>
      </c>
      <c r="N236" s="12" t="n">
        <v>4.7</v>
      </c>
      <c r="O236" s="11" t="n">
        <v>1</v>
      </c>
      <c r="P236" s="11" t="n">
        <v>0</v>
      </c>
      <c r="Q236" s="11" t="n">
        <v>0</v>
      </c>
      <c r="R236" s="25" t="n">
        <v>-1.8</v>
      </c>
      <c r="S236" s="25" t="n">
        <v>-4.3</v>
      </c>
    </row>
    <row r="237">
      <c r="A237" s="24" t="n">
        <v>46174</v>
      </c>
      <c r="B237" s="10" t="inlineStr">
        <is>
          <t>2026-06</t>
        </is>
      </c>
      <c r="C237" s="11" t="n">
        <v>6</v>
      </c>
      <c r="D237" s="10" t="inlineStr">
        <is>
          <t>Mùa mưa</t>
        </is>
      </c>
      <c r="E237" s="12" t="n">
        <v>30.3</v>
      </c>
      <c r="F237" s="12" t="n">
        <v>24.9</v>
      </c>
      <c r="G237" s="12" t="n">
        <v>27.3</v>
      </c>
      <c r="H237" s="16" t="n">
        <v>28.07</v>
      </c>
      <c r="I237" s="12" t="n">
        <v>28.68</v>
      </c>
      <c r="J237" s="12" t="n">
        <v>26.06</v>
      </c>
      <c r="K237" s="12" t="n">
        <v>2.63</v>
      </c>
      <c r="L237" s="12" t="n">
        <v>5.4</v>
      </c>
      <c r="M237" s="11" t="n">
        <v>81</v>
      </c>
      <c r="N237" s="12" t="n">
        <v>0.6</v>
      </c>
      <c r="O237" s="11" t="n">
        <v>0</v>
      </c>
      <c r="P237" s="11" t="n">
        <v>1</v>
      </c>
      <c r="Q237" s="11" t="n">
        <v>0</v>
      </c>
      <c r="R237" s="25" t="n">
        <v>1.5</v>
      </c>
      <c r="S237" s="25" t="n">
        <v>-1.89</v>
      </c>
    </row>
    <row r="238">
      <c r="A238" s="24" t="n">
        <v>46175</v>
      </c>
      <c r="B238" s="10" t="inlineStr">
        <is>
          <t>2026-06</t>
        </is>
      </c>
      <c r="C238" s="11" t="n">
        <v>6</v>
      </c>
      <c r="D238" s="10" t="inlineStr">
        <is>
          <t>Mùa mưa</t>
        </is>
      </c>
      <c r="E238" s="12" t="n">
        <v>31.4</v>
      </c>
      <c r="F238" s="12" t="n">
        <v>24.6</v>
      </c>
      <c r="G238" s="12" t="n">
        <v>27.1</v>
      </c>
      <c r="H238" s="16" t="n">
        <v>27.61</v>
      </c>
      <c r="I238" s="12" t="n">
        <v>28.48</v>
      </c>
      <c r="J238" s="12" t="n">
        <v>25.78</v>
      </c>
      <c r="K238" s="12" t="n">
        <v>2.7</v>
      </c>
      <c r="L238" s="12" t="n">
        <v>6.8</v>
      </c>
      <c r="M238" s="11" t="n">
        <v>86</v>
      </c>
      <c r="N238" s="12" t="n">
        <v>4.4</v>
      </c>
      <c r="O238" s="11" t="n">
        <v>1</v>
      </c>
      <c r="P238" s="11" t="n">
        <v>1</v>
      </c>
      <c r="Q238" s="11" t="n">
        <v>0</v>
      </c>
      <c r="R238" s="25" t="n">
        <v>1.1</v>
      </c>
      <c r="S238" s="25" t="n">
        <v>-0.01</v>
      </c>
    </row>
    <row r="239">
      <c r="A239" s="24" t="n">
        <v>46176</v>
      </c>
      <c r="B239" s="10" t="inlineStr">
        <is>
          <t>2026-06</t>
        </is>
      </c>
      <c r="C239" s="11" t="n">
        <v>6</v>
      </c>
      <c r="D239" s="10" t="inlineStr">
        <is>
          <t>Mùa mưa</t>
        </is>
      </c>
      <c r="E239" s="12" t="n">
        <v>30.5</v>
      </c>
      <c r="F239" s="12" t="n">
        <v>24.2</v>
      </c>
      <c r="G239" s="12" t="n">
        <v>26.8</v>
      </c>
      <c r="H239" s="16" t="n">
        <v>27.09</v>
      </c>
      <c r="I239" s="12" t="n">
        <v>28.05</v>
      </c>
      <c r="J239" s="12" t="n">
        <v>25.6</v>
      </c>
      <c r="K239" s="12" t="n">
        <v>2.45</v>
      </c>
      <c r="L239" s="12" t="n">
        <v>6.3</v>
      </c>
      <c r="M239" s="11" t="n">
        <v>88</v>
      </c>
      <c r="N239" s="12" t="n">
        <v>10.2</v>
      </c>
      <c r="O239" s="11" t="n">
        <v>1</v>
      </c>
      <c r="P239" s="11" t="n">
        <v>1</v>
      </c>
      <c r="Q239" s="11" t="n">
        <v>0</v>
      </c>
      <c r="R239" s="25" t="n">
        <v>-0.9</v>
      </c>
      <c r="S239" s="25" t="n">
        <v>-0.4</v>
      </c>
    </row>
    <row r="240">
      <c r="A240" s="24" t="n">
        <v>46177</v>
      </c>
      <c r="B240" s="10" t="inlineStr">
        <is>
          <t>2026-06</t>
        </is>
      </c>
      <c r="C240" s="11" t="n">
        <v>6</v>
      </c>
      <c r="D240" s="10" t="inlineStr">
        <is>
          <t>Mùa mưa</t>
        </is>
      </c>
      <c r="E240" s="12" t="n">
        <v>31.4</v>
      </c>
      <c r="F240" s="12" t="n">
        <v>25.3</v>
      </c>
      <c r="G240" s="12" t="n">
        <v>27.8</v>
      </c>
      <c r="H240" s="16" t="n">
        <v>26.9</v>
      </c>
      <c r="I240" s="12" t="n">
        <v>28.88</v>
      </c>
      <c r="J240" s="12" t="n">
        <v>26.69</v>
      </c>
      <c r="K240" s="12" t="n">
        <v>2.18</v>
      </c>
      <c r="L240" s="12" t="n">
        <v>6.1</v>
      </c>
      <c r="M240" s="11" t="n">
        <v>85</v>
      </c>
      <c r="N240" s="12" t="n">
        <v>10.6</v>
      </c>
      <c r="O240" s="11" t="n">
        <v>1</v>
      </c>
      <c r="P240" s="11" t="n">
        <v>1</v>
      </c>
      <c r="Q240" s="11" t="n">
        <v>0</v>
      </c>
      <c r="R240" s="25" t="n">
        <v>0.9</v>
      </c>
      <c r="S240" s="25" t="n">
        <v>1.06</v>
      </c>
    </row>
    <row r="241">
      <c r="A241" s="24" t="n">
        <v>46178</v>
      </c>
      <c r="B241" s="10" t="inlineStr">
        <is>
          <t>2026-06</t>
        </is>
      </c>
      <c r="C241" s="11" t="n">
        <v>6</v>
      </c>
      <c r="D241" s="10" t="inlineStr">
        <is>
          <t>Mùa mưa</t>
        </is>
      </c>
      <c r="E241" s="12" t="n">
        <v>32.7</v>
      </c>
      <c r="F241" s="12" t="n">
        <v>25.9</v>
      </c>
      <c r="G241" s="12" t="n">
        <v>29</v>
      </c>
      <c r="H241" s="16" t="n">
        <v>27.33</v>
      </c>
      <c r="I241" s="12" t="n">
        <v>30.53</v>
      </c>
      <c r="J241" s="12" t="n">
        <v>27.51</v>
      </c>
      <c r="K241" s="12" t="n">
        <v>3.02</v>
      </c>
      <c r="L241" s="12" t="n">
        <v>6.8</v>
      </c>
      <c r="M241" s="11" t="n">
        <v>79</v>
      </c>
      <c r="N241" s="12" t="n">
        <v>4.7</v>
      </c>
      <c r="O241" s="11" t="n">
        <v>1</v>
      </c>
      <c r="P241" s="11" t="n">
        <v>1</v>
      </c>
      <c r="Q241" s="11" t="n">
        <v>1</v>
      </c>
      <c r="R241" s="25" t="n">
        <v>1.3</v>
      </c>
      <c r="S241" s="25" t="n">
        <v>2.67</v>
      </c>
    </row>
    <row r="242">
      <c r="A242" s="24" t="n">
        <v>46179</v>
      </c>
      <c r="B242" s="10" t="inlineStr">
        <is>
          <t>2026-06</t>
        </is>
      </c>
      <c r="C242" s="11" t="n">
        <v>6</v>
      </c>
      <c r="D242" s="10" t="inlineStr">
        <is>
          <t>Mùa mưa</t>
        </is>
      </c>
      <c r="E242" s="12" t="n">
        <v>34</v>
      </c>
      <c r="F242" s="12" t="n">
        <v>26.5</v>
      </c>
      <c r="G242" s="12" t="n">
        <v>29.2</v>
      </c>
      <c r="H242" s="16" t="n">
        <v>27.61</v>
      </c>
      <c r="I242" s="12" t="n">
        <v>31.25</v>
      </c>
      <c r="J242" s="12" t="n">
        <v>27.28</v>
      </c>
      <c r="K242" s="12" t="n">
        <v>3.97</v>
      </c>
      <c r="L242" s="12" t="n">
        <v>7.5</v>
      </c>
      <c r="M242" s="11" t="n">
        <v>79</v>
      </c>
      <c r="N242" s="12" t="n">
        <v>3.5</v>
      </c>
      <c r="O242" s="11" t="n">
        <v>1</v>
      </c>
      <c r="P242" s="11" t="n">
        <v>0</v>
      </c>
      <c r="Q242" s="11" t="n">
        <v>1</v>
      </c>
      <c r="R242" s="25" t="n">
        <v>1.3</v>
      </c>
      <c r="S242" s="25" t="n">
        <v>3.19</v>
      </c>
    </row>
    <row r="243">
      <c r="A243" s="24" t="n">
        <v>46180</v>
      </c>
      <c r="B243" s="10" t="inlineStr">
        <is>
          <t>2026-06</t>
        </is>
      </c>
      <c r="C243" s="11" t="n">
        <v>6</v>
      </c>
      <c r="D243" s="10" t="inlineStr">
        <is>
          <t>Mùa mưa</t>
        </is>
      </c>
      <c r="E243" s="12" t="n">
        <v>34.4</v>
      </c>
      <c r="F243" s="12" t="n">
        <v>26.4</v>
      </c>
      <c r="G243" s="12" t="n">
        <v>29.7</v>
      </c>
      <c r="H243" s="16" t="n">
        <v>28.13</v>
      </c>
      <c r="I243" s="12" t="n">
        <v>31.91</v>
      </c>
      <c r="J243" s="12" t="n">
        <v>27.48</v>
      </c>
      <c r="K243" s="12" t="n">
        <v>4.42</v>
      </c>
      <c r="L243" s="12" t="n">
        <v>8</v>
      </c>
      <c r="M243" s="11" t="n">
        <v>77</v>
      </c>
      <c r="N243" s="12" t="n">
        <v>0.7</v>
      </c>
      <c r="O243" s="11" t="n">
        <v>0</v>
      </c>
      <c r="P243" s="11" t="n">
        <v>1</v>
      </c>
      <c r="Q243" s="11" t="n">
        <v>1</v>
      </c>
      <c r="R243" s="25" t="n">
        <v>0.4</v>
      </c>
      <c r="S243" s="25" t="n">
        <v>3.1</v>
      </c>
    </row>
    <row r="244">
      <c r="A244" s="24" t="n">
        <v>46181</v>
      </c>
      <c r="B244" s="10" t="inlineStr">
        <is>
          <t>2026-06</t>
        </is>
      </c>
      <c r="C244" s="11" t="n">
        <v>6</v>
      </c>
      <c r="D244" s="10" t="inlineStr">
        <is>
          <t>Mùa mưa</t>
        </is>
      </c>
      <c r="E244" s="12" t="n">
        <v>33.6</v>
      </c>
      <c r="F244" s="12" t="n">
        <v>26.5</v>
      </c>
      <c r="G244" s="12" t="n">
        <v>28.8</v>
      </c>
      <c r="H244" s="16" t="n">
        <v>28.34</v>
      </c>
      <c r="I244" s="12" t="n">
        <v>30.38</v>
      </c>
      <c r="J244" s="12" t="n">
        <v>27.31</v>
      </c>
      <c r="K244" s="12" t="n">
        <v>3.07</v>
      </c>
      <c r="L244" s="12" t="n">
        <v>7.1</v>
      </c>
      <c r="M244" s="11" t="n">
        <v>82</v>
      </c>
      <c r="N244" s="12" t="n">
        <v>6.8</v>
      </c>
      <c r="O244" s="11" t="n">
        <v>1</v>
      </c>
      <c r="P244" s="11" t="n">
        <v>1</v>
      </c>
      <c r="Q244" s="11" t="n">
        <v>0</v>
      </c>
      <c r="R244" s="25" t="n">
        <v>-0.8</v>
      </c>
      <c r="S244" s="25" t="n">
        <v>1.5</v>
      </c>
    </row>
    <row r="245">
      <c r="A245" s="24" t="n">
        <v>46182</v>
      </c>
      <c r="B245" s="10" t="inlineStr">
        <is>
          <t>2026-06</t>
        </is>
      </c>
      <c r="C245" s="11" t="n">
        <v>6</v>
      </c>
      <c r="D245" s="10" t="inlineStr">
        <is>
          <t>Mùa mưa</t>
        </is>
      </c>
      <c r="E245" s="12" t="n">
        <v>33.4</v>
      </c>
      <c r="F245" s="12" t="n">
        <v>24.9</v>
      </c>
      <c r="G245" s="12" t="n">
        <v>28.5</v>
      </c>
      <c r="H245" s="16" t="n">
        <v>28.54</v>
      </c>
      <c r="I245" s="12" t="n">
        <v>30.32</v>
      </c>
      <c r="J245" s="12" t="n">
        <v>26.68</v>
      </c>
      <c r="K245" s="12" t="n">
        <v>3.63</v>
      </c>
      <c r="L245" s="12" t="n">
        <v>8.5</v>
      </c>
      <c r="M245" s="11" t="n">
        <v>84</v>
      </c>
      <c r="N245" s="12" t="n">
        <v>8.4</v>
      </c>
      <c r="O245" s="11" t="n">
        <v>1</v>
      </c>
      <c r="P245" s="11" t="n">
        <v>1</v>
      </c>
      <c r="Q245" s="11" t="n">
        <v>0</v>
      </c>
      <c r="R245" s="25" t="n">
        <v>-0.2</v>
      </c>
      <c r="S245" s="25" t="n">
        <v>0.83</v>
      </c>
    </row>
    <row r="246">
      <c r="A246" s="24" t="n">
        <v>46183</v>
      </c>
      <c r="B246" s="10" t="inlineStr">
        <is>
          <t>2026-06</t>
        </is>
      </c>
      <c r="C246" s="11" t="n">
        <v>6</v>
      </c>
      <c r="D246" s="10" t="inlineStr">
        <is>
          <t>Mùa mưa</t>
        </is>
      </c>
      <c r="E246" s="12" t="n">
        <v>32</v>
      </c>
      <c r="F246" s="12" t="n">
        <v>25.1</v>
      </c>
      <c r="G246" s="12" t="n">
        <v>28.3</v>
      </c>
      <c r="H246" s="16" t="n">
        <v>28.76</v>
      </c>
      <c r="I246" s="12" t="n">
        <v>29.57</v>
      </c>
      <c r="J246" s="12" t="n">
        <v>27</v>
      </c>
      <c r="K246" s="12" t="n">
        <v>2.57</v>
      </c>
      <c r="L246" s="12" t="n">
        <v>6.9</v>
      </c>
      <c r="M246" s="11" t="n">
        <v>84</v>
      </c>
      <c r="N246" s="12" t="n">
        <v>6</v>
      </c>
      <c r="O246" s="11" t="n">
        <v>1</v>
      </c>
      <c r="P246" s="11" t="n">
        <v>1</v>
      </c>
      <c r="Q246" s="11" t="n">
        <v>0</v>
      </c>
      <c r="R246" s="25" t="n">
        <v>-1.4</v>
      </c>
      <c r="S246" s="25" t="n">
        <v>-0.86</v>
      </c>
    </row>
    <row r="247">
      <c r="A247" s="24" t="n">
        <v>46184</v>
      </c>
      <c r="B247" s="10" t="inlineStr">
        <is>
          <t>2026-06</t>
        </is>
      </c>
      <c r="C247" s="11" t="n">
        <v>6</v>
      </c>
      <c r="D247" s="10" t="inlineStr">
        <is>
          <t>Mùa mưa</t>
        </is>
      </c>
      <c r="E247" s="12" t="n">
        <v>34.4</v>
      </c>
      <c r="F247" s="12" t="n">
        <v>23.8</v>
      </c>
      <c r="G247" s="12" t="n">
        <v>28.3</v>
      </c>
      <c r="H247" s="16" t="n">
        <v>28.83</v>
      </c>
      <c r="I247" s="12" t="n">
        <v>30.56</v>
      </c>
      <c r="J247" s="12" t="n">
        <v>26.07</v>
      </c>
      <c r="K247" s="12" t="n">
        <v>4.48</v>
      </c>
      <c r="L247" s="12" t="n">
        <v>10.6</v>
      </c>
      <c r="M247" s="11" t="n">
        <v>83</v>
      </c>
      <c r="N247" s="12" t="n">
        <v>28.1</v>
      </c>
      <c r="O247" s="11" t="n">
        <v>1</v>
      </c>
      <c r="P247" s="11" t="n">
        <v>1</v>
      </c>
      <c r="Q247" s="11" t="n">
        <v>1</v>
      </c>
      <c r="R247" s="25" t="n">
        <v>2.4</v>
      </c>
      <c r="S247" s="25" t="n">
        <v>1.33</v>
      </c>
    </row>
    <row r="248">
      <c r="A248" s="24" t="n">
        <v>46185</v>
      </c>
      <c r="B248" s="10" t="inlineStr">
        <is>
          <t>2026-06</t>
        </is>
      </c>
      <c r="C248" s="11" t="n">
        <v>6</v>
      </c>
      <c r="D248" s="10" t="inlineStr">
        <is>
          <t>Mùa mưa</t>
        </is>
      </c>
      <c r="E248" s="12" t="n">
        <v>33.1</v>
      </c>
      <c r="F248" s="12" t="n">
        <v>25.4</v>
      </c>
      <c r="G248" s="12" t="n">
        <v>28.1</v>
      </c>
      <c r="H248" s="16" t="n">
        <v>28.7</v>
      </c>
      <c r="I248" s="12" t="n">
        <v>29.97</v>
      </c>
      <c r="J248" s="12" t="n">
        <v>26.33</v>
      </c>
      <c r="K248" s="12" t="n">
        <v>3.64</v>
      </c>
      <c r="L248" s="12" t="n">
        <v>7.7</v>
      </c>
      <c r="M248" s="11" t="n">
        <v>87</v>
      </c>
      <c r="N248" s="12" t="n">
        <v>7.7</v>
      </c>
      <c r="O248" s="11" t="n">
        <v>1</v>
      </c>
      <c r="P248" s="11" t="n">
        <v>1</v>
      </c>
      <c r="Q248" s="11" t="n">
        <v>0</v>
      </c>
      <c r="R248" s="25" t="n">
        <v>-1.3</v>
      </c>
      <c r="S248" s="25" t="n">
        <v>-0.4</v>
      </c>
    </row>
    <row r="249">
      <c r="A249" s="24" t="n">
        <v>46186</v>
      </c>
      <c r="B249" s="10" t="inlineStr">
        <is>
          <t>2026-06</t>
        </is>
      </c>
      <c r="C249" s="11" t="n">
        <v>6</v>
      </c>
      <c r="D249" s="10" t="inlineStr">
        <is>
          <t>Mùa mưa</t>
        </is>
      </c>
      <c r="E249" s="12" t="n">
        <v>34</v>
      </c>
      <c r="F249" s="12" t="n">
        <v>25.2</v>
      </c>
      <c r="G249" s="12" t="n">
        <v>28.6</v>
      </c>
      <c r="H249" s="16" t="n">
        <v>28.61</v>
      </c>
      <c r="I249" s="12" t="n">
        <v>30.62</v>
      </c>
      <c r="J249" s="12" t="n">
        <v>26.56</v>
      </c>
      <c r="K249" s="12" t="n">
        <v>4.06</v>
      </c>
      <c r="L249" s="12" t="n">
        <v>8.800000000000001</v>
      </c>
      <c r="M249" s="11" t="n">
        <v>85</v>
      </c>
      <c r="N249" s="12" t="n">
        <v>12.3</v>
      </c>
      <c r="O249" s="11" t="n">
        <v>1</v>
      </c>
      <c r="P249" s="11" t="n">
        <v>1</v>
      </c>
      <c r="Q249" s="11" t="n">
        <v>0</v>
      </c>
      <c r="R249" s="25" t="n">
        <v>0.9</v>
      </c>
      <c r="S249" s="25" t="n">
        <v>0.44</v>
      </c>
    </row>
    <row r="250">
      <c r="A250" s="24" t="n">
        <v>46187</v>
      </c>
      <c r="B250" s="10" t="inlineStr">
        <is>
          <t>2026-06</t>
        </is>
      </c>
      <c r="C250" s="11" t="n">
        <v>6</v>
      </c>
      <c r="D250" s="10" t="inlineStr">
        <is>
          <t>Mùa mưa</t>
        </is>
      </c>
      <c r="E250" s="12" t="n">
        <v>31.4</v>
      </c>
      <c r="F250" s="12" t="n">
        <v>25.4</v>
      </c>
      <c r="G250" s="12" t="n">
        <v>27.9</v>
      </c>
      <c r="H250" s="16" t="n">
        <v>28.36</v>
      </c>
      <c r="I250" s="12" t="n">
        <v>29.48</v>
      </c>
      <c r="J250" s="12" t="n">
        <v>26.39</v>
      </c>
      <c r="K250" s="12" t="n">
        <v>3.09</v>
      </c>
      <c r="L250" s="12" t="n">
        <v>6</v>
      </c>
      <c r="M250" s="11" t="n">
        <v>86</v>
      </c>
      <c r="N250" s="12" t="n">
        <v>6.2</v>
      </c>
      <c r="O250" s="11" t="n">
        <v>1</v>
      </c>
      <c r="P250" s="11" t="n">
        <v>1</v>
      </c>
      <c r="Q250" s="11" t="n">
        <v>0</v>
      </c>
      <c r="R250" s="25" t="n">
        <v>-2.6</v>
      </c>
      <c r="S250" s="25" t="n">
        <v>-2.16</v>
      </c>
    </row>
    <row r="251">
      <c r="A251" s="24" t="n">
        <v>46188</v>
      </c>
      <c r="B251" s="10" t="inlineStr">
        <is>
          <t>2026-06</t>
        </is>
      </c>
      <c r="C251" s="11" t="n">
        <v>6</v>
      </c>
      <c r="D251" s="10" t="inlineStr">
        <is>
          <t>Mùa mưa</t>
        </is>
      </c>
      <c r="E251" s="12" t="n">
        <v>33.1</v>
      </c>
      <c r="F251" s="12" t="n">
        <v>25</v>
      </c>
      <c r="G251" s="12" t="n">
        <v>28.3</v>
      </c>
      <c r="H251" s="16" t="n">
        <v>28.29</v>
      </c>
      <c r="I251" s="12" t="n">
        <v>30.47</v>
      </c>
      <c r="J251" s="12" t="n">
        <v>26.19</v>
      </c>
      <c r="K251" s="12" t="n">
        <v>4.28</v>
      </c>
      <c r="L251" s="12" t="n">
        <v>8.1</v>
      </c>
      <c r="M251" s="11" t="n">
        <v>82</v>
      </c>
      <c r="N251" s="12" t="n">
        <v>4.7</v>
      </c>
      <c r="O251" s="11" t="n">
        <v>1</v>
      </c>
      <c r="P251" s="11" t="n">
        <v>1</v>
      </c>
      <c r="Q251" s="11" t="n">
        <v>0</v>
      </c>
      <c r="R251" s="25" t="n">
        <v>1.7</v>
      </c>
      <c r="S251" s="25" t="n">
        <v>-0.03</v>
      </c>
    </row>
    <row r="252">
      <c r="A252" s="24" t="n">
        <v>46189</v>
      </c>
      <c r="B252" s="10" t="inlineStr">
        <is>
          <t>2026-06</t>
        </is>
      </c>
      <c r="C252" s="11" t="n">
        <v>6</v>
      </c>
      <c r="D252" s="10" t="inlineStr">
        <is>
          <t>Mùa mưa</t>
        </is>
      </c>
      <c r="E252" s="12" t="n">
        <v>33.1</v>
      </c>
      <c r="F252" s="12" t="n">
        <v>25.7</v>
      </c>
      <c r="G252" s="12" t="n">
        <v>28.5</v>
      </c>
      <c r="H252" s="16" t="n">
        <v>28.29</v>
      </c>
      <c r="I252" s="12" t="n">
        <v>30.22</v>
      </c>
      <c r="J252" s="12" t="n">
        <v>26.87</v>
      </c>
      <c r="K252" s="12" t="n">
        <v>3.35</v>
      </c>
      <c r="L252" s="12" t="n">
        <v>7.4</v>
      </c>
      <c r="M252" s="11" t="n">
        <v>82</v>
      </c>
      <c r="N252" s="12" t="n">
        <v>7.2</v>
      </c>
      <c r="O252" s="11" t="n">
        <v>1</v>
      </c>
      <c r="P252" s="11" t="n">
        <v>1</v>
      </c>
      <c r="Q252" s="11" t="n">
        <v>0</v>
      </c>
      <c r="R252" s="25" t="n">
        <v>0</v>
      </c>
      <c r="S252" s="25" t="n">
        <v>0.04</v>
      </c>
    </row>
    <row r="253">
      <c r="A253" s="24" t="n">
        <v>46190</v>
      </c>
      <c r="B253" s="10" t="inlineStr">
        <is>
          <t>2026-06</t>
        </is>
      </c>
      <c r="C253" s="11" t="n">
        <v>6</v>
      </c>
      <c r="D253" s="10" t="inlineStr">
        <is>
          <t>Mùa mưa</t>
        </is>
      </c>
      <c r="E253" s="12" t="n">
        <v>33.8</v>
      </c>
      <c r="F253" s="12" t="n">
        <v>25.3</v>
      </c>
      <c r="G253" s="12" t="n">
        <v>28.7</v>
      </c>
      <c r="H253" s="16" t="n">
        <v>28.34</v>
      </c>
      <c r="I253" s="12" t="n">
        <v>30.72</v>
      </c>
      <c r="J253" s="12" t="n">
        <v>26.65</v>
      </c>
      <c r="K253" s="12" t="n">
        <v>4.07</v>
      </c>
      <c r="L253" s="12" t="n">
        <v>8.5</v>
      </c>
      <c r="M253" s="11" t="n">
        <v>81</v>
      </c>
      <c r="N253" s="12" t="n">
        <v>4.3</v>
      </c>
      <c r="O253" s="11" t="n">
        <v>1</v>
      </c>
      <c r="P253" s="11" t="n">
        <v>1</v>
      </c>
      <c r="Q253" s="11" t="n">
        <v>0</v>
      </c>
      <c r="R253" s="25" t="n">
        <v>0.7</v>
      </c>
      <c r="S253" s="25" t="n">
        <v>0.79</v>
      </c>
    </row>
    <row r="254">
      <c r="A254" s="24" t="n">
        <v>46191</v>
      </c>
      <c r="B254" s="10" t="inlineStr">
        <is>
          <t>2026-06</t>
        </is>
      </c>
      <c r="C254" s="11" t="n">
        <v>6</v>
      </c>
      <c r="D254" s="10" t="inlineStr">
        <is>
          <t>Mùa mưa</t>
        </is>
      </c>
      <c r="E254" s="12" t="n">
        <v>33.2</v>
      </c>
      <c r="F254" s="12" t="n">
        <v>25.2</v>
      </c>
      <c r="G254" s="12" t="n">
        <v>28.3</v>
      </c>
      <c r="H254" s="16" t="n">
        <v>28.34</v>
      </c>
      <c r="I254" s="12" t="n">
        <v>30.57</v>
      </c>
      <c r="J254" s="12" t="n">
        <v>26</v>
      </c>
      <c r="K254" s="12" t="n">
        <v>4.57</v>
      </c>
      <c r="L254" s="12" t="n">
        <v>8</v>
      </c>
      <c r="M254" s="11" t="n">
        <v>82</v>
      </c>
      <c r="N254" s="12" t="n">
        <v>4.8</v>
      </c>
      <c r="O254" s="11" t="n">
        <v>1</v>
      </c>
      <c r="P254" s="11" t="n">
        <v>0</v>
      </c>
      <c r="Q254" s="11" t="n">
        <v>0</v>
      </c>
      <c r="R254" s="25" t="n">
        <v>-0.6</v>
      </c>
      <c r="S254" s="25" t="n">
        <v>-0.07000000000000001</v>
      </c>
    </row>
    <row r="255">
      <c r="A255" s="24" t="n">
        <v>46192</v>
      </c>
      <c r="B255" s="10" t="inlineStr">
        <is>
          <t>2026-06</t>
        </is>
      </c>
      <c r="C255" s="11" t="n">
        <v>6</v>
      </c>
      <c r="D255" s="10" t="inlineStr">
        <is>
          <t>Mùa mưa</t>
        </is>
      </c>
      <c r="E255" s="12" t="n">
        <v>33.6</v>
      </c>
      <c r="F255" s="12" t="n">
        <v>25.1</v>
      </c>
      <c r="G255" s="12" t="n">
        <v>28.7</v>
      </c>
      <c r="H255" s="16" t="n">
        <v>28.43</v>
      </c>
      <c r="I255" s="12" t="n">
        <v>30.77</v>
      </c>
      <c r="J255" s="12" t="n">
        <v>26.72</v>
      </c>
      <c r="K255" s="12" t="n">
        <v>4.05</v>
      </c>
      <c r="L255" s="12" t="n">
        <v>8.5</v>
      </c>
      <c r="M255" s="11" t="n">
        <v>80</v>
      </c>
      <c r="N255" s="12" t="n">
        <v>0.6</v>
      </c>
      <c r="O255" s="11" t="n">
        <v>0</v>
      </c>
      <c r="P255" s="11" t="n">
        <v>1</v>
      </c>
      <c r="Q255" s="11" t="n">
        <v>0</v>
      </c>
      <c r="R255" s="25" t="n">
        <v>0.4</v>
      </c>
      <c r="S255" s="25" t="n">
        <v>0.5</v>
      </c>
    </row>
    <row r="256">
      <c r="A256" s="24" t="n">
        <v>46193</v>
      </c>
      <c r="B256" s="10" t="inlineStr">
        <is>
          <t>2026-06</t>
        </is>
      </c>
      <c r="C256" s="11" t="n">
        <v>6</v>
      </c>
      <c r="D256" s="10" t="inlineStr">
        <is>
          <t>Mùa mưa</t>
        </is>
      </c>
      <c r="E256" s="12" t="n">
        <v>34.2</v>
      </c>
      <c r="F256" s="12" t="n">
        <v>25.7</v>
      </c>
      <c r="G256" s="12" t="n">
        <v>29</v>
      </c>
      <c r="H256" s="16" t="n">
        <v>28.49</v>
      </c>
      <c r="I256" s="12" t="n">
        <v>31.03</v>
      </c>
      <c r="J256" s="12" t="n">
        <v>27.1</v>
      </c>
      <c r="K256" s="12" t="n">
        <v>3.93</v>
      </c>
      <c r="L256" s="12" t="n">
        <v>8.5</v>
      </c>
      <c r="M256" s="11" t="n">
        <v>80</v>
      </c>
      <c r="N256" s="12" t="n">
        <v>1.3</v>
      </c>
      <c r="O256" s="11" t="n">
        <v>1</v>
      </c>
      <c r="P256" s="11" t="n">
        <v>1</v>
      </c>
      <c r="Q256" s="11" t="n">
        <v>0</v>
      </c>
      <c r="R256" s="25" t="n">
        <v>0.6</v>
      </c>
      <c r="S256" s="25" t="n">
        <v>1.03</v>
      </c>
    </row>
    <row r="257">
      <c r="A257" s="24" t="n">
        <v>46194</v>
      </c>
      <c r="B257" s="10" t="inlineStr">
        <is>
          <t>2026-06</t>
        </is>
      </c>
      <c r="C257" s="11" t="n">
        <v>6</v>
      </c>
      <c r="D257" s="10" t="inlineStr">
        <is>
          <t>Mùa mưa</t>
        </is>
      </c>
      <c r="E257" s="12" t="n">
        <v>34</v>
      </c>
      <c r="F257" s="12" t="n">
        <v>25.9</v>
      </c>
      <c r="G257" s="12" t="n">
        <v>29.7</v>
      </c>
      <c r="H257" s="16" t="n">
        <v>28.74</v>
      </c>
      <c r="I257" s="12" t="n">
        <v>31.77</v>
      </c>
      <c r="J257" s="12" t="n">
        <v>27.64</v>
      </c>
      <c r="K257" s="12" t="n">
        <v>4.13</v>
      </c>
      <c r="L257" s="12" t="n">
        <v>8.1</v>
      </c>
      <c r="M257" s="11" t="n">
        <v>76</v>
      </c>
      <c r="N257" s="12" t="n">
        <v>1.1</v>
      </c>
      <c r="O257" s="11" t="n">
        <v>1</v>
      </c>
      <c r="P257" s="11" t="n">
        <v>1</v>
      </c>
      <c r="Q257" s="11" t="n">
        <v>0</v>
      </c>
      <c r="R257" s="25" t="n">
        <v>-0.2</v>
      </c>
      <c r="S257" s="25" t="n">
        <v>0.8</v>
      </c>
    </row>
    <row r="258">
      <c r="A258" s="24" t="n">
        <v>46195</v>
      </c>
      <c r="B258" s="10" t="inlineStr">
        <is>
          <t>2026-06</t>
        </is>
      </c>
      <c r="C258" s="11" t="n">
        <v>6</v>
      </c>
      <c r="D258" s="10" t="inlineStr">
        <is>
          <t>Mùa mưa</t>
        </is>
      </c>
      <c r="E258" s="12" t="n">
        <v>34.5</v>
      </c>
      <c r="F258" s="12" t="n">
        <v>26.2</v>
      </c>
      <c r="G258" s="12" t="n">
        <v>30</v>
      </c>
      <c r="H258" s="16" t="n">
        <v>28.99</v>
      </c>
      <c r="I258" s="12" t="n">
        <v>31.89</v>
      </c>
      <c r="J258" s="12" t="n">
        <v>28.21</v>
      </c>
      <c r="K258" s="12" t="n">
        <v>3.68</v>
      </c>
      <c r="L258" s="12" t="n">
        <v>8.300000000000001</v>
      </c>
      <c r="M258" s="11" t="n">
        <v>75</v>
      </c>
      <c r="N258" s="12" t="n">
        <v>1.3</v>
      </c>
      <c r="O258" s="11" t="n">
        <v>1</v>
      </c>
      <c r="P258" s="11" t="n">
        <v>1</v>
      </c>
      <c r="Q258" s="11" t="n">
        <v>0</v>
      </c>
      <c r="R258" s="25" t="n">
        <v>0.5</v>
      </c>
      <c r="S258" s="25" t="n">
        <v>0.93</v>
      </c>
    </row>
    <row r="259">
      <c r="A259" s="24" t="n">
        <v>46196</v>
      </c>
      <c r="B259" s="10" t="inlineStr">
        <is>
          <t>2026-06</t>
        </is>
      </c>
      <c r="C259" s="11" t="n">
        <v>6</v>
      </c>
      <c r="D259" s="10" t="inlineStr">
        <is>
          <t>Mùa mưa</t>
        </is>
      </c>
      <c r="E259" s="12" t="n">
        <v>32.5</v>
      </c>
      <c r="F259" s="12" t="n">
        <v>25.2</v>
      </c>
      <c r="G259" s="12" t="n">
        <v>28.6</v>
      </c>
      <c r="H259" s="16" t="n">
        <v>29</v>
      </c>
      <c r="I259" s="12" t="n">
        <v>29.41</v>
      </c>
      <c r="J259" s="12" t="n">
        <v>27.88</v>
      </c>
      <c r="K259" s="12" t="n">
        <v>1.53</v>
      </c>
      <c r="L259" s="12" t="n">
        <v>7.3</v>
      </c>
      <c r="M259" s="11" t="n">
        <v>83</v>
      </c>
      <c r="N259" s="12" t="n">
        <v>12.8</v>
      </c>
      <c r="O259" s="11" t="n">
        <v>1</v>
      </c>
      <c r="P259" s="11" t="n">
        <v>1</v>
      </c>
      <c r="Q259" s="11" t="n">
        <v>0</v>
      </c>
      <c r="R259" s="25" t="n">
        <v>-2</v>
      </c>
      <c r="S259" s="25" t="n">
        <v>-1.27</v>
      </c>
    </row>
    <row r="260">
      <c r="A260" s="24" t="n">
        <v>46197</v>
      </c>
      <c r="B260" s="10" t="inlineStr">
        <is>
          <t>2026-06</t>
        </is>
      </c>
      <c r="C260" s="11" t="n">
        <v>6</v>
      </c>
      <c r="D260" s="10" t="inlineStr">
        <is>
          <t>Mùa mưa</t>
        </is>
      </c>
      <c r="E260" s="12" t="n">
        <v>35.2</v>
      </c>
      <c r="F260" s="12" t="n">
        <v>25.8</v>
      </c>
      <c r="G260" s="12" t="n">
        <v>29.4</v>
      </c>
      <c r="H260" s="16" t="n">
        <v>29.1</v>
      </c>
      <c r="I260" s="12" t="n">
        <v>31.76</v>
      </c>
      <c r="J260" s="12" t="n">
        <v>27.12</v>
      </c>
      <c r="K260" s="12" t="n">
        <v>4.64</v>
      </c>
      <c r="L260" s="12" t="n">
        <v>9.4</v>
      </c>
      <c r="M260" s="11" t="n">
        <v>79</v>
      </c>
      <c r="N260" s="12" t="n">
        <v>4.2</v>
      </c>
      <c r="O260" s="11" t="n">
        <v>1</v>
      </c>
      <c r="P260" s="11" t="n">
        <v>1</v>
      </c>
      <c r="Q260" s="11" t="n">
        <v>1</v>
      </c>
      <c r="R260" s="25" t="n">
        <v>2.7</v>
      </c>
      <c r="S260" s="25" t="n">
        <v>1.51</v>
      </c>
    </row>
    <row r="261">
      <c r="A261" s="24" t="n">
        <v>46198</v>
      </c>
      <c r="B261" s="10" t="inlineStr">
        <is>
          <t>2026-06</t>
        </is>
      </c>
      <c r="C261" s="11" t="n">
        <v>6</v>
      </c>
      <c r="D261" s="10" t="inlineStr">
        <is>
          <t>Mùa mưa</t>
        </is>
      </c>
      <c r="E261" s="12" t="n">
        <v>34.2</v>
      </c>
      <c r="F261" s="12" t="n">
        <v>25.5</v>
      </c>
      <c r="G261" s="12" t="n">
        <v>28.7</v>
      </c>
      <c r="H261" s="16" t="n">
        <v>29.16</v>
      </c>
      <c r="I261" s="12" t="n">
        <v>30.58</v>
      </c>
      <c r="J261" s="12" t="n">
        <v>26.9</v>
      </c>
      <c r="K261" s="12" t="n">
        <v>3.68</v>
      </c>
      <c r="L261" s="12" t="n">
        <v>8.699999999999999</v>
      </c>
      <c r="M261" s="11" t="n">
        <v>79</v>
      </c>
      <c r="N261" s="12" t="n">
        <v>8.9</v>
      </c>
      <c r="O261" s="11" t="n">
        <v>1</v>
      </c>
      <c r="P261" s="11" t="n">
        <v>1</v>
      </c>
      <c r="Q261" s="11" t="n">
        <v>0</v>
      </c>
      <c r="R261" s="25" t="n">
        <v>-1</v>
      </c>
      <c r="S261" s="25" t="n">
        <v>0.31</v>
      </c>
    </row>
    <row r="262">
      <c r="A262" s="24" t="n">
        <v>46199</v>
      </c>
      <c r="B262" s="10" t="inlineStr">
        <is>
          <t>2026-06</t>
        </is>
      </c>
      <c r="C262" s="11" t="n">
        <v>6</v>
      </c>
      <c r="D262" s="10" t="inlineStr">
        <is>
          <t>Mùa mưa</t>
        </is>
      </c>
      <c r="E262" s="12" t="n">
        <v>33.1</v>
      </c>
      <c r="F262" s="12" t="n">
        <v>25.3</v>
      </c>
      <c r="G262" s="12" t="n">
        <v>28.7</v>
      </c>
      <c r="H262" s="16" t="n">
        <v>29.16</v>
      </c>
      <c r="I262" s="12" t="n">
        <v>30.82</v>
      </c>
      <c r="J262" s="12" t="n">
        <v>26.67</v>
      </c>
      <c r="K262" s="12" t="n">
        <v>4.16</v>
      </c>
      <c r="L262" s="12" t="n">
        <v>7.8</v>
      </c>
      <c r="M262" s="11" t="n">
        <v>80</v>
      </c>
      <c r="N262" s="12" t="n">
        <v>2.2</v>
      </c>
      <c r="O262" s="11" t="n">
        <v>1</v>
      </c>
      <c r="P262" s="11" t="n">
        <v>0</v>
      </c>
      <c r="Q262" s="11" t="n">
        <v>0</v>
      </c>
      <c r="R262" s="25" t="n">
        <v>-1.1</v>
      </c>
      <c r="S262" s="25" t="n">
        <v>-0.93</v>
      </c>
    </row>
    <row r="263">
      <c r="A263" s="24" t="n">
        <v>46200</v>
      </c>
      <c r="B263" s="10" t="inlineStr">
        <is>
          <t>2026-06</t>
        </is>
      </c>
      <c r="C263" s="11" t="n">
        <v>6</v>
      </c>
      <c r="D263" s="10" t="inlineStr">
        <is>
          <t>Mùa mưa</t>
        </is>
      </c>
      <c r="E263" s="12" t="n">
        <v>33.8</v>
      </c>
      <c r="F263" s="12" t="n">
        <v>25.7</v>
      </c>
      <c r="G263" s="12" t="n">
        <v>29.2</v>
      </c>
      <c r="H263" s="16" t="n">
        <v>29.19</v>
      </c>
      <c r="I263" s="12" t="n">
        <v>31.27</v>
      </c>
      <c r="J263" s="12" t="n">
        <v>27.15</v>
      </c>
      <c r="K263" s="12" t="n">
        <v>4.12</v>
      </c>
      <c r="L263" s="12" t="n">
        <v>8.1</v>
      </c>
      <c r="M263" s="11" t="n">
        <v>77</v>
      </c>
      <c r="N263" s="12" t="n">
        <v>0.8</v>
      </c>
      <c r="O263" s="11" t="n">
        <v>0</v>
      </c>
      <c r="P263" s="11" t="n">
        <v>1</v>
      </c>
      <c r="Q263" s="11" t="n">
        <v>0</v>
      </c>
      <c r="R263" s="25" t="n">
        <v>0.7</v>
      </c>
      <c r="S263" s="25" t="n">
        <v>-0.16</v>
      </c>
    </row>
    <row r="264">
      <c r="A264" s="24" t="n">
        <v>46201</v>
      </c>
      <c r="B264" s="10" t="inlineStr">
        <is>
          <t>2026-06</t>
        </is>
      </c>
      <c r="C264" s="11" t="n">
        <v>6</v>
      </c>
      <c r="D264" s="10" t="inlineStr">
        <is>
          <t>Mùa mưa</t>
        </is>
      </c>
      <c r="E264" s="12" t="n">
        <v>32.3</v>
      </c>
      <c r="F264" s="12" t="n">
        <v>26.3</v>
      </c>
      <c r="G264" s="12" t="n">
        <v>27.6</v>
      </c>
      <c r="H264" s="16" t="n">
        <v>28.89</v>
      </c>
      <c r="I264" s="12" t="n">
        <v>28.77</v>
      </c>
      <c r="J264" s="12" t="n">
        <v>26.55</v>
      </c>
      <c r="K264" s="12" t="n">
        <v>2.22</v>
      </c>
      <c r="L264" s="12" t="n">
        <v>6</v>
      </c>
      <c r="M264" s="11" t="n">
        <v>88</v>
      </c>
      <c r="N264" s="12" t="n">
        <v>22</v>
      </c>
      <c r="O264" s="11" t="n">
        <v>1</v>
      </c>
      <c r="P264" s="11" t="n">
        <v>1</v>
      </c>
      <c r="Q264" s="11" t="n">
        <v>0</v>
      </c>
      <c r="R264" s="25" t="n">
        <v>-1.5</v>
      </c>
      <c r="S264" s="25" t="n">
        <v>-1.6</v>
      </c>
    </row>
    <row r="265">
      <c r="A265" s="24" t="n">
        <v>46202</v>
      </c>
      <c r="B265" s="10" t="inlineStr">
        <is>
          <t>2026-06</t>
        </is>
      </c>
      <c r="C265" s="11" t="n">
        <v>6</v>
      </c>
      <c r="D265" s="10" t="inlineStr">
        <is>
          <t>Mùa mưa</t>
        </is>
      </c>
      <c r="E265" s="12" t="n">
        <v>32.7</v>
      </c>
      <c r="F265" s="12" t="n">
        <v>26.1</v>
      </c>
      <c r="G265" s="12" t="n">
        <v>27.9</v>
      </c>
      <c r="H265" s="16" t="n">
        <v>28.59</v>
      </c>
      <c r="I265" s="12" t="n">
        <v>29.21</v>
      </c>
      <c r="J265" s="12" t="n">
        <v>26.69</v>
      </c>
      <c r="K265" s="12" t="n">
        <v>2.52</v>
      </c>
      <c r="L265" s="12" t="n">
        <v>6.6</v>
      </c>
      <c r="M265" s="11" t="n">
        <v>87</v>
      </c>
      <c r="N265" s="12" t="n">
        <v>17.4</v>
      </c>
      <c r="O265" s="11" t="n">
        <v>1</v>
      </c>
      <c r="P265" s="11" t="n">
        <v>1</v>
      </c>
      <c r="Q265" s="11" t="n">
        <v>0</v>
      </c>
      <c r="R265" s="25" t="n">
        <v>0.4</v>
      </c>
      <c r="S265" s="25" t="n">
        <v>-0.96</v>
      </c>
    </row>
    <row r="266">
      <c r="A266" s="24" t="n">
        <v>46203</v>
      </c>
      <c r="B266" s="10" t="inlineStr">
        <is>
          <t>2026-06</t>
        </is>
      </c>
      <c r="C266" s="11" t="n">
        <v>6</v>
      </c>
      <c r="D266" s="10" t="inlineStr">
        <is>
          <t>Mùa mưa</t>
        </is>
      </c>
      <c r="E266" s="12" t="n">
        <v>32.2</v>
      </c>
      <c r="F266" s="12" t="n">
        <v>25</v>
      </c>
      <c r="G266" s="12" t="n">
        <v>27.8</v>
      </c>
      <c r="H266" s="16" t="n">
        <v>28.47</v>
      </c>
      <c r="I266" s="12" t="n">
        <v>29.64</v>
      </c>
      <c r="J266" s="12" t="n">
        <v>26.06</v>
      </c>
      <c r="K266" s="12" t="n">
        <v>3.58</v>
      </c>
      <c r="L266" s="12" t="n">
        <v>7.2</v>
      </c>
      <c r="M266" s="11" t="n">
        <v>86</v>
      </c>
      <c r="N266" s="12" t="n">
        <v>13.9</v>
      </c>
      <c r="O266" s="11" t="n">
        <v>1</v>
      </c>
      <c r="P266" s="11" t="n">
        <v>0</v>
      </c>
      <c r="Q266" s="11" t="n">
        <v>0</v>
      </c>
      <c r="R266" s="25" t="n">
        <v>-0.5</v>
      </c>
      <c r="S266" s="25" t="n">
        <v>-1.2</v>
      </c>
    </row>
    <row r="267">
      <c r="A267" s="24" t="n">
        <v>46204</v>
      </c>
      <c r="B267" s="10" t="inlineStr">
        <is>
          <t>2026-07</t>
        </is>
      </c>
      <c r="C267" s="11" t="n">
        <v>7</v>
      </c>
      <c r="D267" s="10" t="inlineStr">
        <is>
          <t>Mùa mưa</t>
        </is>
      </c>
      <c r="E267" s="12" t="n">
        <v>32.9</v>
      </c>
      <c r="F267" s="12" t="n">
        <v>25.8</v>
      </c>
      <c r="G267" s="12" t="n">
        <v>28.8</v>
      </c>
      <c r="H267" s="16" t="n">
        <v>28.39</v>
      </c>
      <c r="I267" s="12" t="n">
        <v>30.66</v>
      </c>
      <c r="J267" s="12" t="n">
        <v>27.01</v>
      </c>
      <c r="K267" s="12" t="n">
        <v>3.65</v>
      </c>
      <c r="L267" s="12" t="n">
        <v>7.1</v>
      </c>
      <c r="M267" s="11" t="n">
        <v>79</v>
      </c>
      <c r="N267" s="12" t="n">
        <v>0.5</v>
      </c>
      <c r="O267" s="11" t="n">
        <v>0</v>
      </c>
      <c r="P267" s="11" t="n">
        <v>1</v>
      </c>
      <c r="Q267" s="11" t="n">
        <v>0</v>
      </c>
      <c r="R267" s="25" t="n">
        <v>0.7</v>
      </c>
      <c r="S267" s="25" t="n">
        <v>-0.46</v>
      </c>
    </row>
    <row r="268">
      <c r="A268" s="24" t="n">
        <v>46205</v>
      </c>
      <c r="B268" s="10" t="inlineStr">
        <is>
          <t>2026-07</t>
        </is>
      </c>
      <c r="C268" s="11" t="n">
        <v>7</v>
      </c>
      <c r="D268" s="10" t="inlineStr">
        <is>
          <t>Mùa mưa</t>
        </is>
      </c>
      <c r="E268" s="12" t="n">
        <v>30.1</v>
      </c>
      <c r="F268" s="12" t="n">
        <v>24.4</v>
      </c>
      <c r="G268" s="12" t="n">
        <v>26.7</v>
      </c>
      <c r="H268" s="16" t="n">
        <v>28.1</v>
      </c>
      <c r="I268" s="12" t="n">
        <v>27.87</v>
      </c>
      <c r="J268" s="12" t="n">
        <v>25.68</v>
      </c>
      <c r="K268" s="12" t="n">
        <v>2.18</v>
      </c>
      <c r="L268" s="12" t="n">
        <v>5.7</v>
      </c>
      <c r="M268" s="11" t="n">
        <v>89</v>
      </c>
      <c r="N268" s="12" t="n">
        <v>21.5</v>
      </c>
      <c r="O268" s="11" t="n">
        <v>1</v>
      </c>
      <c r="P268" s="11" t="n">
        <v>1</v>
      </c>
      <c r="Q268" s="11" t="n">
        <v>0</v>
      </c>
      <c r="R268" s="25" t="n">
        <v>-2.8</v>
      </c>
      <c r="S268" s="25" t="n">
        <v>-2.93</v>
      </c>
    </row>
    <row r="269">
      <c r="A269" s="24" t="n">
        <v>46206</v>
      </c>
      <c r="B269" s="10" t="inlineStr">
        <is>
          <t>2026-07</t>
        </is>
      </c>
      <c r="C269" s="11" t="n">
        <v>7</v>
      </c>
      <c r="D269" s="10" t="inlineStr">
        <is>
          <t>Mùa mưa</t>
        </is>
      </c>
      <c r="E269" s="12" t="n">
        <v>29.6</v>
      </c>
      <c r="F269" s="12" t="n">
        <v>24.9</v>
      </c>
      <c r="G269" s="12" t="n">
        <v>26.8</v>
      </c>
      <c r="H269" s="16" t="n">
        <v>27.83</v>
      </c>
      <c r="I269" s="12" t="n">
        <v>27.88</v>
      </c>
      <c r="J269" s="12" t="n">
        <v>25.86</v>
      </c>
      <c r="K269" s="12" t="n">
        <v>2.03</v>
      </c>
      <c r="L269" s="12" t="n">
        <v>4.7</v>
      </c>
      <c r="M269" s="11" t="n">
        <v>88</v>
      </c>
      <c r="N269" s="12" t="n">
        <v>6.3</v>
      </c>
      <c r="O269" s="11" t="n">
        <v>1</v>
      </c>
      <c r="P269" s="11" t="n">
        <v>1</v>
      </c>
      <c r="Q269" s="11" t="n">
        <v>0</v>
      </c>
      <c r="R269" s="25" t="n">
        <v>-0.5</v>
      </c>
      <c r="S269" s="25" t="n">
        <v>-2.84</v>
      </c>
    </row>
    <row r="270">
      <c r="A270" s="24" t="n">
        <v>46207</v>
      </c>
      <c r="B270" s="10" t="inlineStr">
        <is>
          <t>2026-07</t>
        </is>
      </c>
      <c r="C270" s="11" t="n">
        <v>7</v>
      </c>
      <c r="D270" s="10" t="inlineStr">
        <is>
          <t>Mùa mưa</t>
        </is>
      </c>
      <c r="E270" s="12" t="n">
        <v>29.6</v>
      </c>
      <c r="F270" s="12" t="n">
        <v>24.7</v>
      </c>
      <c r="G270" s="12" t="n">
        <v>26.2</v>
      </c>
      <c r="H270" s="16" t="n">
        <v>27.4</v>
      </c>
      <c r="I270" s="12" t="n">
        <v>26.84</v>
      </c>
      <c r="J270" s="12" t="n">
        <v>25.55</v>
      </c>
      <c r="K270" s="12" t="n">
        <v>1.29</v>
      </c>
      <c r="L270" s="12" t="n">
        <v>4.9</v>
      </c>
      <c r="M270" s="11" t="n">
        <v>91</v>
      </c>
      <c r="N270" s="12" t="n">
        <v>18.8</v>
      </c>
      <c r="O270" s="11" t="n">
        <v>1</v>
      </c>
      <c r="P270" s="11" t="n">
        <v>1</v>
      </c>
      <c r="Q270" s="11" t="n">
        <v>0</v>
      </c>
      <c r="R270" s="25" t="n">
        <v>0</v>
      </c>
      <c r="S270" s="25" t="n">
        <v>-2.34</v>
      </c>
    </row>
    <row r="271">
      <c r="A271" s="24" t="n">
        <v>46208</v>
      </c>
      <c r="B271" s="10" t="inlineStr">
        <is>
          <t>2026-07</t>
        </is>
      </c>
      <c r="C271" s="11" t="n">
        <v>7</v>
      </c>
      <c r="D271" s="10" t="inlineStr">
        <is>
          <t>Mùa mưa</t>
        </is>
      </c>
      <c r="E271" s="12" t="n">
        <v>31.1</v>
      </c>
      <c r="F271" s="12" t="n">
        <v>24.9</v>
      </c>
      <c r="G271" s="12" t="n">
        <v>27.4</v>
      </c>
      <c r="H271" s="16" t="n">
        <v>27.37</v>
      </c>
      <c r="I271" s="12" t="n">
        <v>28.83</v>
      </c>
      <c r="J271" s="12" t="n">
        <v>25.99</v>
      </c>
      <c r="K271" s="12" t="n">
        <v>2.84</v>
      </c>
      <c r="L271" s="12" t="n">
        <v>6.2</v>
      </c>
      <c r="M271" s="11" t="n">
        <v>84</v>
      </c>
      <c r="N271" s="12" t="n">
        <v>1</v>
      </c>
      <c r="O271" s="11" t="n">
        <v>1</v>
      </c>
      <c r="P271" s="11" t="n">
        <v>1</v>
      </c>
      <c r="Q271" s="11" t="n">
        <v>0</v>
      </c>
      <c r="R271" s="25" t="n">
        <v>1.5</v>
      </c>
      <c r="S271" s="25" t="n">
        <v>-0.24</v>
      </c>
    </row>
    <row r="272">
      <c r="A272" s="24" t="n">
        <v>46209</v>
      </c>
      <c r="B272" s="10" t="inlineStr">
        <is>
          <t>2026-07</t>
        </is>
      </c>
      <c r="C272" s="11" t="n">
        <v>7</v>
      </c>
      <c r="D272" s="10" t="inlineStr">
        <is>
          <t>Mùa mưa</t>
        </is>
      </c>
      <c r="E272" s="12" t="n">
        <v>30.9</v>
      </c>
      <c r="F272" s="12" t="n">
        <v>25.4</v>
      </c>
      <c r="G272" s="12" t="n">
        <v>27.9</v>
      </c>
      <c r="H272" s="16" t="n">
        <v>27.37</v>
      </c>
      <c r="I272" s="12" t="n">
        <v>28.91</v>
      </c>
      <c r="J272" s="12" t="n">
        <v>26.89</v>
      </c>
      <c r="K272" s="12" t="n">
        <v>2.02</v>
      </c>
      <c r="L272" s="12" t="n">
        <v>5.5</v>
      </c>
      <c r="M272" s="11" t="n">
        <v>84</v>
      </c>
      <c r="N272" s="12" t="n">
        <v>1</v>
      </c>
      <c r="O272" s="11" t="n">
        <v>1</v>
      </c>
      <c r="P272" s="11" t="n">
        <v>1</v>
      </c>
      <c r="Q272" s="11" t="n">
        <v>0</v>
      </c>
      <c r="R272" s="25" t="n">
        <v>-0.2</v>
      </c>
      <c r="S272" s="25" t="n">
        <v>-0.27</v>
      </c>
    </row>
    <row r="273">
      <c r="A273" s="24" t="n">
        <v>46210</v>
      </c>
      <c r="B273" s="10" t="inlineStr">
        <is>
          <t>2026-07</t>
        </is>
      </c>
      <c r="C273" s="11" t="n">
        <v>7</v>
      </c>
      <c r="D273" s="10" t="inlineStr">
        <is>
          <t>Mùa mưa</t>
        </is>
      </c>
      <c r="E273" s="12" t="n">
        <v>31.5</v>
      </c>
      <c r="F273" s="12" t="n">
        <v>25.3</v>
      </c>
      <c r="G273" s="12" t="n">
        <v>27.8</v>
      </c>
      <c r="H273" s="16" t="n">
        <v>27.37</v>
      </c>
      <c r="I273" s="12" t="n">
        <v>29.46</v>
      </c>
      <c r="J273" s="12" t="n">
        <v>26.14</v>
      </c>
      <c r="K273" s="12" t="n">
        <v>3.32</v>
      </c>
      <c r="L273" s="12" t="n">
        <v>6.2</v>
      </c>
      <c r="M273" s="11" t="n">
        <v>85</v>
      </c>
      <c r="N273" s="12" t="n">
        <v>8.5</v>
      </c>
      <c r="O273" s="11" t="n">
        <v>1</v>
      </c>
      <c r="P273" s="11" t="n">
        <v>1</v>
      </c>
      <c r="Q273" s="11" t="n">
        <v>0</v>
      </c>
      <c r="R273" s="25" t="n">
        <v>0.6</v>
      </c>
      <c r="S273" s="25" t="n">
        <v>0.59</v>
      </c>
    </row>
    <row r="274">
      <c r="A274" s="24" t="n">
        <v>46211</v>
      </c>
      <c r="B274" s="10" t="inlineStr">
        <is>
          <t>2026-07</t>
        </is>
      </c>
      <c r="C274" s="11" t="n">
        <v>7</v>
      </c>
      <c r="D274" s="10" t="inlineStr">
        <is>
          <t>Mùa mưa</t>
        </is>
      </c>
      <c r="E274" s="12" t="n">
        <v>31.3</v>
      </c>
      <c r="F274" s="12" t="n">
        <v>24</v>
      </c>
      <c r="G274" s="12" t="n">
        <v>27</v>
      </c>
      <c r="H274" s="16" t="n">
        <v>27.11</v>
      </c>
      <c r="I274" s="12" t="n">
        <v>28.37</v>
      </c>
      <c r="J274" s="12" t="n">
        <v>25.67</v>
      </c>
      <c r="K274" s="12" t="n">
        <v>2.7</v>
      </c>
      <c r="L274" s="12" t="n">
        <v>7.3</v>
      </c>
      <c r="M274" s="11" t="n">
        <v>87</v>
      </c>
      <c r="N274" s="12" t="n">
        <v>15.3</v>
      </c>
      <c r="O274" s="11" t="n">
        <v>1</v>
      </c>
      <c r="P274" s="11" t="n">
        <v>1</v>
      </c>
      <c r="Q274" s="11" t="n">
        <v>0</v>
      </c>
      <c r="R274" s="25" t="n">
        <v>-0.2</v>
      </c>
      <c r="S274" s="25" t="n">
        <v>0.49</v>
      </c>
    </row>
    <row r="275">
      <c r="A275" s="24" t="n">
        <v>46212</v>
      </c>
      <c r="B275" s="10" t="inlineStr">
        <is>
          <t>2026-07</t>
        </is>
      </c>
      <c r="C275" s="11" t="n">
        <v>7</v>
      </c>
      <c r="D275" s="10" t="inlineStr">
        <is>
          <t>Mùa mưa</t>
        </is>
      </c>
      <c r="E275" s="12" t="n">
        <v>33</v>
      </c>
      <c r="F275" s="12" t="n">
        <v>25.4</v>
      </c>
      <c r="G275" s="12" t="n">
        <v>28.7</v>
      </c>
      <c r="H275" s="16" t="n">
        <v>27.4</v>
      </c>
      <c r="I275" s="12" t="n">
        <v>30.56</v>
      </c>
      <c r="J275" s="12" t="n">
        <v>26.98</v>
      </c>
      <c r="K275" s="12" t="n">
        <v>3.57</v>
      </c>
      <c r="L275" s="12" t="n">
        <v>7.6</v>
      </c>
      <c r="M275" s="11" t="n">
        <v>78</v>
      </c>
      <c r="N275" s="12" t="n">
        <v>2.1</v>
      </c>
      <c r="O275" s="11" t="n">
        <v>1</v>
      </c>
      <c r="P275" s="11" t="n">
        <v>0</v>
      </c>
      <c r="Q275" s="11" t="n">
        <v>1</v>
      </c>
      <c r="R275" s="25" t="n">
        <v>1.7</v>
      </c>
      <c r="S275" s="25" t="n">
        <v>2.41</v>
      </c>
    </row>
    <row r="276">
      <c r="A276" s="24" t="n">
        <v>46213</v>
      </c>
      <c r="B276" s="10" t="inlineStr">
        <is>
          <t>2026-07</t>
        </is>
      </c>
      <c r="C276" s="11" t="n">
        <v>7</v>
      </c>
      <c r="D276" s="10" t="inlineStr">
        <is>
          <t>Mùa mưa</t>
        </is>
      </c>
      <c r="E276" s="12" t="n">
        <v>33.6</v>
      </c>
      <c r="F276" s="12" t="n">
        <v>26</v>
      </c>
      <c r="G276" s="12" t="n">
        <v>29.4</v>
      </c>
      <c r="H276" s="16" t="n">
        <v>27.77</v>
      </c>
      <c r="I276" s="12" t="n">
        <v>31.19</v>
      </c>
      <c r="J276" s="12" t="n">
        <v>27.7</v>
      </c>
      <c r="K276" s="12" t="n">
        <v>3.49</v>
      </c>
      <c r="L276" s="12" t="n">
        <v>7.6</v>
      </c>
      <c r="M276" s="11" t="n">
        <v>74</v>
      </c>
      <c r="N276" s="12" t="n">
        <v>0.5</v>
      </c>
      <c r="O276" s="11" t="n">
        <v>0</v>
      </c>
      <c r="P276" s="11" t="n">
        <v>1</v>
      </c>
      <c r="Q276" s="11" t="n">
        <v>1</v>
      </c>
      <c r="R276" s="25" t="n">
        <v>0.6</v>
      </c>
      <c r="S276" s="25" t="n">
        <v>2.6</v>
      </c>
    </row>
    <row r="277">
      <c r="A277" s="24" t="n">
        <v>46214</v>
      </c>
      <c r="B277" s="10" t="inlineStr">
        <is>
          <t>2026-07</t>
        </is>
      </c>
      <c r="C277" s="11" t="n">
        <v>7</v>
      </c>
      <c r="D277" s="10" t="inlineStr">
        <is>
          <t>Mùa mưa</t>
        </is>
      </c>
      <c r="E277" s="12" t="n">
        <v>33.1</v>
      </c>
      <c r="F277" s="12" t="n">
        <v>26.6</v>
      </c>
      <c r="G277" s="12" t="n">
        <v>29.3</v>
      </c>
      <c r="H277" s="16" t="n">
        <v>28.21</v>
      </c>
      <c r="I277" s="12" t="n">
        <v>30.76</v>
      </c>
      <c r="J277" s="12" t="n">
        <v>27.93</v>
      </c>
      <c r="K277" s="12" t="n">
        <v>2.83</v>
      </c>
      <c r="L277" s="12" t="n">
        <v>6.5</v>
      </c>
      <c r="M277" s="11" t="n">
        <v>73</v>
      </c>
      <c r="N277" s="12" t="n">
        <v>2.8</v>
      </c>
      <c r="O277" s="11" t="n">
        <v>1</v>
      </c>
      <c r="P277" s="11" t="n">
        <v>1</v>
      </c>
      <c r="Q277" s="11" t="n">
        <v>0</v>
      </c>
      <c r="R277" s="25" t="n">
        <v>-0.5</v>
      </c>
      <c r="S277" s="25" t="n">
        <v>1.53</v>
      </c>
    </row>
    <row r="278">
      <c r="A278" s="24" t="n">
        <v>46215</v>
      </c>
      <c r="B278" s="10" t="inlineStr">
        <is>
          <t>2026-07</t>
        </is>
      </c>
      <c r="C278" s="11" t="n">
        <v>7</v>
      </c>
      <c r="D278" s="10" t="inlineStr">
        <is>
          <t>Mùa mưa</t>
        </is>
      </c>
      <c r="E278" s="12" t="n">
        <v>30.6</v>
      </c>
      <c r="F278" s="12" t="n">
        <v>26.2</v>
      </c>
      <c r="G278" s="12" t="n">
        <v>27.8</v>
      </c>
      <c r="H278" s="16" t="n">
        <v>28.27</v>
      </c>
      <c r="I278" s="12" t="n">
        <v>28.77</v>
      </c>
      <c r="J278" s="12" t="n">
        <v>26.96</v>
      </c>
      <c r="K278" s="12" t="n">
        <v>1.81</v>
      </c>
      <c r="L278" s="12" t="n">
        <v>4.4</v>
      </c>
      <c r="M278" s="11" t="n">
        <v>81</v>
      </c>
      <c r="N278" s="12" t="n">
        <v>6</v>
      </c>
      <c r="O278" s="11" t="n">
        <v>1</v>
      </c>
      <c r="P278" s="11" t="n">
        <v>1</v>
      </c>
      <c r="Q278" s="11" t="n">
        <v>0</v>
      </c>
      <c r="R278" s="25" t="n">
        <v>-2.5</v>
      </c>
      <c r="S278" s="25" t="n">
        <v>-1.47</v>
      </c>
    </row>
    <row r="279">
      <c r="A279" s="24" t="n">
        <v>46216</v>
      </c>
      <c r="B279" s="10" t="inlineStr">
        <is>
          <t>2026-07</t>
        </is>
      </c>
      <c r="C279" s="11" t="n">
        <v>7</v>
      </c>
      <c r="D279" s="10" t="inlineStr">
        <is>
          <t>Mùa mưa</t>
        </is>
      </c>
      <c r="E279" s="12" t="n">
        <v>31.5</v>
      </c>
      <c r="F279" s="12" t="n">
        <v>25.1</v>
      </c>
      <c r="G279" s="12" t="n">
        <v>27.1</v>
      </c>
      <c r="H279" s="16" t="n">
        <v>28.16</v>
      </c>
      <c r="I279" s="12" t="n">
        <v>28.35</v>
      </c>
      <c r="J279" s="12" t="n">
        <v>25.93</v>
      </c>
      <c r="K279" s="12" t="n">
        <v>2.42</v>
      </c>
      <c r="L279" s="12" t="n">
        <v>6.4</v>
      </c>
      <c r="M279" s="11" t="n">
        <v>84</v>
      </c>
      <c r="N279" s="12" t="n">
        <v>12.7</v>
      </c>
      <c r="O279" s="11" t="n">
        <v>1</v>
      </c>
      <c r="P279" s="11" t="n">
        <v>1</v>
      </c>
      <c r="Q279" s="11" t="n">
        <v>0</v>
      </c>
      <c r="R279" s="25" t="n">
        <v>0.9</v>
      </c>
      <c r="S279" s="25" t="n">
        <v>-0.5</v>
      </c>
    </row>
    <row r="280">
      <c r="A280" s="24" t="n">
        <v>46217</v>
      </c>
      <c r="B280" s="10" t="inlineStr">
        <is>
          <t>2026-07</t>
        </is>
      </c>
      <c r="C280" s="11" t="n">
        <v>7</v>
      </c>
      <c r="D280" s="10" t="inlineStr">
        <is>
          <t>Mùa mưa</t>
        </is>
      </c>
      <c r="E280" s="12" t="n">
        <v>32.1</v>
      </c>
      <c r="F280" s="12" t="n">
        <v>25</v>
      </c>
      <c r="G280" s="12" t="n">
        <v>28</v>
      </c>
      <c r="H280" s="16" t="n">
        <v>28.19</v>
      </c>
      <c r="I280" s="12" t="n">
        <v>29.68</v>
      </c>
      <c r="J280" s="12" t="n">
        <v>26.32</v>
      </c>
      <c r="K280" s="12" t="n">
        <v>3.36</v>
      </c>
      <c r="L280" s="12" t="n">
        <v>7.1</v>
      </c>
      <c r="M280" s="11" t="n">
        <v>80</v>
      </c>
      <c r="N280" s="12" t="n">
        <v>2.8</v>
      </c>
      <c r="O280" s="11" t="n">
        <v>1</v>
      </c>
      <c r="P280" s="11" t="n">
        <v>1</v>
      </c>
      <c r="Q280" s="11" t="n">
        <v>0</v>
      </c>
      <c r="R280" s="25" t="n">
        <v>0.6</v>
      </c>
      <c r="S280" s="25" t="n">
        <v>0.01</v>
      </c>
    </row>
    <row r="281">
      <c r="A281" s="24" t="n">
        <v>46218</v>
      </c>
      <c r="B281" s="10" t="inlineStr">
        <is>
          <t>2026-07</t>
        </is>
      </c>
      <c r="C281" s="11" t="n">
        <v>7</v>
      </c>
      <c r="D281" s="10" t="inlineStr">
        <is>
          <t>Mùa mưa</t>
        </is>
      </c>
      <c r="E281" s="12" t="n">
        <v>31.7</v>
      </c>
      <c r="F281" s="12" t="n">
        <v>25</v>
      </c>
      <c r="G281" s="12" t="n">
        <v>27.3</v>
      </c>
      <c r="H281" s="16" t="n">
        <v>28.23</v>
      </c>
      <c r="I281" s="12" t="n">
        <v>28.72</v>
      </c>
      <c r="J281" s="12" t="n">
        <v>25.9</v>
      </c>
      <c r="K281" s="12" t="n">
        <v>2.82</v>
      </c>
      <c r="L281" s="12" t="n">
        <v>6.7</v>
      </c>
      <c r="M281" s="11" t="n">
        <v>87</v>
      </c>
      <c r="N281" s="12" t="n">
        <v>23.1</v>
      </c>
      <c r="O281" s="11" t="n">
        <v>1</v>
      </c>
      <c r="P281" s="11" t="n">
        <v>1</v>
      </c>
      <c r="Q281" s="11" t="n">
        <v>0</v>
      </c>
      <c r="R281" s="25" t="n">
        <v>-0.4</v>
      </c>
      <c r="S281" s="25" t="n">
        <v>-0.47</v>
      </c>
    </row>
    <row r="282">
      <c r="A282" s="24" t="n">
        <v>46219</v>
      </c>
      <c r="B282" s="10" t="inlineStr">
        <is>
          <t>2026-07</t>
        </is>
      </c>
      <c r="C282" s="11" t="n">
        <v>7</v>
      </c>
      <c r="D282" s="10" t="inlineStr">
        <is>
          <t>Mùa mưa</t>
        </is>
      </c>
      <c r="E282" s="12" t="n">
        <v>32.6</v>
      </c>
      <c r="F282" s="12" t="n">
        <v>23.9</v>
      </c>
      <c r="G282" s="12" t="n">
        <v>27.7</v>
      </c>
      <c r="H282" s="16" t="n">
        <v>28.09</v>
      </c>
      <c r="I282" s="12" t="n">
        <v>29.86</v>
      </c>
      <c r="J282" s="12" t="n">
        <v>25.63</v>
      </c>
      <c r="K282" s="12" t="n">
        <v>4.22</v>
      </c>
      <c r="L282" s="12" t="n">
        <v>8.699999999999999</v>
      </c>
      <c r="M282" s="11" t="n">
        <v>82</v>
      </c>
      <c r="N282" s="12" t="n">
        <v>6.2</v>
      </c>
      <c r="O282" s="11" t="n">
        <v>1</v>
      </c>
      <c r="P282" s="11" t="n">
        <v>1</v>
      </c>
      <c r="Q282" s="11" t="n">
        <v>0</v>
      </c>
      <c r="R282" s="25" t="n">
        <v>0.9</v>
      </c>
      <c r="S282" s="25" t="n">
        <v>0.37</v>
      </c>
    </row>
    <row r="283">
      <c r="A283" s="24" t="n">
        <v>46220</v>
      </c>
      <c r="B283" s="10" t="inlineStr">
        <is>
          <t>2026-07</t>
        </is>
      </c>
      <c r="C283" s="11" t="n">
        <v>7</v>
      </c>
      <c r="D283" s="10" t="inlineStr">
        <is>
          <t>Mùa mưa</t>
        </is>
      </c>
      <c r="E283" s="12" t="n">
        <v>32.8</v>
      </c>
      <c r="F283" s="12" t="n">
        <v>25</v>
      </c>
      <c r="G283" s="12" t="n">
        <v>28.3</v>
      </c>
      <c r="H283" s="16" t="n">
        <v>27.93</v>
      </c>
      <c r="I283" s="12" t="n">
        <v>29.93</v>
      </c>
      <c r="J283" s="12" t="n">
        <v>26.67</v>
      </c>
      <c r="K283" s="12" t="n">
        <v>3.27</v>
      </c>
      <c r="L283" s="12" t="n">
        <v>7.8</v>
      </c>
      <c r="M283" s="11" t="n">
        <v>80</v>
      </c>
      <c r="N283" s="12" t="n">
        <v>2</v>
      </c>
      <c r="O283" s="11" t="n">
        <v>1</v>
      </c>
      <c r="P283" s="11" t="n">
        <v>1</v>
      </c>
      <c r="Q283" s="11" t="n">
        <v>0</v>
      </c>
      <c r="R283" s="25" t="n">
        <v>0.2</v>
      </c>
      <c r="S283" s="25" t="n">
        <v>0.63</v>
      </c>
    </row>
    <row r="284">
      <c r="A284" s="24" t="n">
        <v>46221</v>
      </c>
      <c r="B284" s="10" t="inlineStr">
        <is>
          <t>2026-07</t>
        </is>
      </c>
      <c r="C284" s="11" t="n">
        <v>7</v>
      </c>
      <c r="D284" s="10" t="inlineStr">
        <is>
          <t>Mùa mưa</t>
        </is>
      </c>
      <c r="E284" s="12" t="n">
        <v>32.8</v>
      </c>
      <c r="F284" s="12" t="n">
        <v>25.7</v>
      </c>
      <c r="G284" s="12" t="n">
        <v>28.2</v>
      </c>
      <c r="H284" s="16" t="n">
        <v>27.77</v>
      </c>
      <c r="I284" s="12" t="n">
        <v>29.63</v>
      </c>
      <c r="J284" s="12" t="n">
        <v>26.71</v>
      </c>
      <c r="K284" s="12" t="n">
        <v>2.93</v>
      </c>
      <c r="L284" s="12" t="n">
        <v>7.1</v>
      </c>
      <c r="M284" s="11" t="n">
        <v>82</v>
      </c>
      <c r="N284" s="12" t="n">
        <v>5.8</v>
      </c>
      <c r="O284" s="11" t="n">
        <v>1</v>
      </c>
      <c r="P284" s="11" t="n">
        <v>1</v>
      </c>
      <c r="Q284" s="11" t="n">
        <v>0</v>
      </c>
      <c r="R284" s="25" t="n">
        <v>0</v>
      </c>
      <c r="S284" s="25" t="n">
        <v>0.74</v>
      </c>
    </row>
    <row r="285">
      <c r="A285" s="24" t="n">
        <v>46222</v>
      </c>
      <c r="B285" s="10" t="inlineStr">
        <is>
          <t>2026-07</t>
        </is>
      </c>
      <c r="C285" s="11" t="n">
        <v>7</v>
      </c>
      <c r="D285" s="10" t="inlineStr">
        <is>
          <t>Mùa mưa</t>
        </is>
      </c>
      <c r="E285" s="12" t="n">
        <v>33</v>
      </c>
      <c r="F285" s="12" t="n">
        <v>25.1</v>
      </c>
      <c r="G285" s="12" t="n">
        <v>28.6</v>
      </c>
      <c r="H285" s="16" t="n">
        <v>27.89</v>
      </c>
      <c r="I285" s="12" t="n">
        <v>30.38</v>
      </c>
      <c r="J285" s="12" t="n">
        <v>26.83</v>
      </c>
      <c r="K285" s="12" t="n">
        <v>3.55</v>
      </c>
      <c r="L285" s="12" t="n">
        <v>7.9</v>
      </c>
      <c r="M285" s="11" t="n">
        <v>81</v>
      </c>
      <c r="N285" s="12" t="n">
        <v>1</v>
      </c>
      <c r="O285" s="11" t="n">
        <v>1</v>
      </c>
      <c r="P285" s="11" t="n">
        <v>0</v>
      </c>
      <c r="Q285" s="11" t="n">
        <v>0</v>
      </c>
      <c r="R285" s="25" t="n">
        <v>0.2</v>
      </c>
      <c r="S285" s="25" t="n">
        <v>0.99</v>
      </c>
    </row>
    <row r="286">
      <c r="A286" s="24" t="n">
        <v>46223</v>
      </c>
      <c r="B286" s="10" t="inlineStr">
        <is>
          <t>2026-07</t>
        </is>
      </c>
      <c r="C286" s="11" t="n">
        <v>7</v>
      </c>
      <c r="D286" s="10" t="inlineStr">
        <is>
          <t>Mùa mưa</t>
        </is>
      </c>
      <c r="E286" s="12" t="n">
        <v>34.1</v>
      </c>
      <c r="F286" s="12" t="n">
        <v>25.3</v>
      </c>
      <c r="G286" s="12" t="n">
        <v>29.2</v>
      </c>
      <c r="H286" s="16" t="n">
        <v>28.19</v>
      </c>
      <c r="I286" s="12" t="n">
        <v>31.32</v>
      </c>
      <c r="J286" s="12" t="n">
        <v>27.18</v>
      </c>
      <c r="K286" s="12" t="n">
        <v>4.13</v>
      </c>
      <c r="L286" s="12" t="n">
        <v>8.800000000000001</v>
      </c>
      <c r="M286" s="11" t="n">
        <v>73</v>
      </c>
      <c r="N286" s="12" t="n">
        <v>0</v>
      </c>
      <c r="O286" s="11" t="n">
        <v>0</v>
      </c>
      <c r="P286" s="11" t="n">
        <v>0</v>
      </c>
      <c r="Q286" s="11" t="n">
        <v>0</v>
      </c>
      <c r="R286" s="25" t="n">
        <v>1.1</v>
      </c>
      <c r="S286" s="25" t="n">
        <v>1.74</v>
      </c>
    </row>
    <row r="287">
      <c r="A287" s="24" t="n">
        <v>46224</v>
      </c>
      <c r="B287" s="10" t="inlineStr">
        <is>
          <t>2026-07</t>
        </is>
      </c>
      <c r="C287" s="11" t="n">
        <v>7</v>
      </c>
      <c r="D287" s="10" t="inlineStr">
        <is>
          <t>Mùa mưa</t>
        </is>
      </c>
      <c r="E287" s="12" t="n">
        <v>34.2</v>
      </c>
      <c r="F287" s="12" t="n">
        <v>24.8</v>
      </c>
      <c r="G287" s="12" t="n">
        <v>29.1</v>
      </c>
      <c r="H287" s="16" t="n">
        <v>28.34</v>
      </c>
      <c r="I287" s="12" t="n">
        <v>31.18</v>
      </c>
      <c r="J287" s="12" t="n">
        <v>27.06</v>
      </c>
      <c r="K287" s="12" t="n">
        <v>4.12</v>
      </c>
      <c r="L287" s="12" t="n">
        <v>9.4</v>
      </c>
      <c r="M287" s="11" t="n">
        <v>72</v>
      </c>
      <c r="N287" s="12" t="n">
        <v>0</v>
      </c>
      <c r="O287" s="11" t="n">
        <v>0</v>
      </c>
      <c r="P287" s="11" t="n">
        <v>0</v>
      </c>
      <c r="Q287" s="11" t="n">
        <v>0</v>
      </c>
      <c r="R287" s="25" t="n">
        <v>0.1</v>
      </c>
      <c r="S287" s="25" t="n">
        <v>1.47</v>
      </c>
    </row>
    <row r="288">
      <c r="A288" s="24" t="n">
        <v>46225</v>
      </c>
      <c r="B288" s="10" t="inlineStr">
        <is>
          <t>2026-07</t>
        </is>
      </c>
      <c r="C288" s="11" t="n">
        <v>7</v>
      </c>
      <c r="D288" s="10" t="inlineStr">
        <is>
          <t>Mùa mưa</t>
        </is>
      </c>
      <c r="E288" s="12" t="n">
        <v>33.5</v>
      </c>
      <c r="F288" s="12" t="n">
        <v>25</v>
      </c>
      <c r="G288" s="12" t="n">
        <v>29.2</v>
      </c>
      <c r="H288" s="16" t="n">
        <v>28.61</v>
      </c>
      <c r="I288" s="12" t="n">
        <v>31.09</v>
      </c>
      <c r="J288" s="12" t="n">
        <v>27.43</v>
      </c>
      <c r="K288" s="12" t="n">
        <v>3.67</v>
      </c>
      <c r="L288" s="12" t="n">
        <v>8.5</v>
      </c>
      <c r="M288" s="11" t="n">
        <v>72</v>
      </c>
      <c r="N288" s="12" t="n">
        <v>0.4</v>
      </c>
      <c r="O288" s="11" t="n">
        <v>0</v>
      </c>
      <c r="P288" s="11" t="n">
        <v>1</v>
      </c>
      <c r="Q288" s="11" t="n">
        <v>0</v>
      </c>
      <c r="R288" s="25" t="n">
        <v>-0.7</v>
      </c>
      <c r="S288" s="25" t="n">
        <v>0.47</v>
      </c>
    </row>
    <row r="289">
      <c r="A289" s="24" t="n">
        <v>46226</v>
      </c>
      <c r="B289" s="10" t="inlineStr">
        <is>
          <t>2026-07</t>
        </is>
      </c>
      <c r="C289" s="11" t="n">
        <v>7</v>
      </c>
      <c r="D289" s="10" t="inlineStr">
        <is>
          <t>Mùa mưa</t>
        </is>
      </c>
      <c r="E289" s="12" t="n">
        <v>33.6</v>
      </c>
      <c r="F289" s="12" t="n">
        <v>25.8</v>
      </c>
      <c r="G289" s="12" t="n">
        <v>28.7</v>
      </c>
      <c r="H289" s="16" t="n">
        <v>28.76</v>
      </c>
      <c r="I289" s="12" t="n">
        <v>30.74</v>
      </c>
      <c r="J289" s="12" t="n">
        <v>26.62</v>
      </c>
      <c r="K289" s="12" t="n">
        <v>4.13</v>
      </c>
      <c r="L289" s="12" t="n">
        <v>7.8</v>
      </c>
      <c r="M289" s="11" t="n">
        <v>78</v>
      </c>
      <c r="N289" s="12" t="n">
        <v>8.9</v>
      </c>
      <c r="O289" s="11" t="n">
        <v>1</v>
      </c>
      <c r="P289" s="11" t="n">
        <v>1</v>
      </c>
      <c r="Q289" s="11" t="n">
        <v>0</v>
      </c>
      <c r="R289" s="25" t="n">
        <v>0.1</v>
      </c>
      <c r="S289" s="25" t="n">
        <v>0.31</v>
      </c>
    </row>
    <row r="290">
      <c r="A290" s="24" t="n">
        <v>46227</v>
      </c>
      <c r="B290" s="10" t="inlineStr">
        <is>
          <t>2026-07</t>
        </is>
      </c>
      <c r="C290" s="11" t="n">
        <v>7</v>
      </c>
      <c r="D290" s="10" t="inlineStr">
        <is>
          <t>Mùa mưa</t>
        </is>
      </c>
      <c r="E290" s="12" t="n">
        <v>32.6</v>
      </c>
      <c r="F290" s="12" t="n">
        <v>24.9</v>
      </c>
      <c r="G290" s="12" t="n">
        <v>27.1</v>
      </c>
      <c r="H290" s="16" t="n">
        <v>28.59</v>
      </c>
      <c r="I290" s="12" t="n">
        <v>28.76</v>
      </c>
      <c r="J290" s="12" t="n">
        <v>25.55</v>
      </c>
      <c r="K290" s="12" t="n">
        <v>3.21</v>
      </c>
      <c r="L290" s="12" t="n">
        <v>7.7</v>
      </c>
      <c r="M290" s="11" t="n">
        <v>88</v>
      </c>
      <c r="N290" s="12" t="n">
        <v>11.7</v>
      </c>
      <c r="O290" s="11" t="n">
        <v>1</v>
      </c>
      <c r="P290" s="11" t="n">
        <v>1</v>
      </c>
      <c r="Q290" s="11" t="n">
        <v>0</v>
      </c>
      <c r="R290" s="25" t="n">
        <v>-1</v>
      </c>
      <c r="S290" s="25" t="n">
        <v>-0.83</v>
      </c>
    </row>
    <row r="291">
      <c r="A291" s="24" t="n">
        <v>46228</v>
      </c>
      <c r="B291" s="10" t="inlineStr">
        <is>
          <t>2026-07</t>
        </is>
      </c>
      <c r="C291" s="11" t="n">
        <v>7</v>
      </c>
      <c r="D291" s="10" t="inlineStr">
        <is>
          <t>Mùa mưa</t>
        </is>
      </c>
      <c r="E291" s="12" t="n">
        <v>31.2</v>
      </c>
      <c r="F291" s="12" t="n">
        <v>24.4</v>
      </c>
      <c r="G291" s="12" t="n">
        <v>26.5</v>
      </c>
      <c r="H291" s="16" t="n">
        <v>28.34</v>
      </c>
      <c r="I291" s="12" t="n">
        <v>27.62</v>
      </c>
      <c r="J291" s="12" t="n">
        <v>25.52</v>
      </c>
      <c r="K291" s="12" t="n">
        <v>2.1</v>
      </c>
      <c r="L291" s="12" t="n">
        <v>6.8</v>
      </c>
      <c r="M291" s="11" t="n">
        <v>90</v>
      </c>
      <c r="N291" s="12" t="n">
        <v>13.4</v>
      </c>
      <c r="O291" s="11" t="n">
        <v>1</v>
      </c>
      <c r="P291" s="11" t="n">
        <v>1</v>
      </c>
      <c r="Q291" s="11" t="n">
        <v>0</v>
      </c>
      <c r="R291" s="25" t="n">
        <v>-1.4</v>
      </c>
      <c r="S291" s="25" t="n">
        <v>-2.2</v>
      </c>
    </row>
    <row r="292">
      <c r="A292" s="24" t="n">
        <v>46229</v>
      </c>
      <c r="B292" s="10" t="inlineStr">
        <is>
          <t>2026-07</t>
        </is>
      </c>
      <c r="C292" s="11" t="n">
        <v>7</v>
      </c>
      <c r="D292" s="10" t="inlineStr">
        <is>
          <t>Mùa mưa</t>
        </is>
      </c>
      <c r="E292" s="12" t="n">
        <v>29.7</v>
      </c>
      <c r="F292" s="12" t="n">
        <v>24.7</v>
      </c>
      <c r="G292" s="12" t="n">
        <v>26.4</v>
      </c>
      <c r="H292" s="16" t="n">
        <v>28.03</v>
      </c>
      <c r="I292" s="12" t="n">
        <v>27.31</v>
      </c>
      <c r="J292" s="12" t="n">
        <v>25.56</v>
      </c>
      <c r="K292" s="12" t="n">
        <v>1.75</v>
      </c>
      <c r="L292" s="12" t="n">
        <v>5</v>
      </c>
      <c r="M292" s="11" t="n">
        <v>90</v>
      </c>
      <c r="N292" s="12" t="n">
        <v>14.6</v>
      </c>
      <c r="O292" s="11" t="n">
        <v>1</v>
      </c>
      <c r="P292" s="11" t="n">
        <v>0</v>
      </c>
      <c r="Q292" s="11" t="n">
        <v>0</v>
      </c>
      <c r="R292" s="25" t="n">
        <v>-1.5</v>
      </c>
      <c r="S292" s="25" t="n">
        <v>-3.47</v>
      </c>
    </row>
    <row r="293">
      <c r="A293" s="24" t="n">
        <v>46230</v>
      </c>
      <c r="B293" s="10" t="inlineStr">
        <is>
          <t>2026-07</t>
        </is>
      </c>
      <c r="C293" s="11" t="n">
        <v>7</v>
      </c>
      <c r="D293" s="10" t="inlineStr">
        <is>
          <t>Mùa mưa</t>
        </is>
      </c>
      <c r="E293" s="12" t="n">
        <v>32.5</v>
      </c>
      <c r="F293" s="12" t="n">
        <v>24.6</v>
      </c>
      <c r="G293" s="12" t="n">
        <v>28</v>
      </c>
      <c r="H293" s="16" t="n">
        <v>27.86</v>
      </c>
      <c r="I293" s="12" t="n">
        <v>29.77</v>
      </c>
      <c r="J293" s="12" t="n">
        <v>26.3</v>
      </c>
      <c r="K293" s="12" t="n">
        <v>3.47</v>
      </c>
      <c r="L293" s="12" t="n">
        <v>7.9</v>
      </c>
      <c r="M293" s="11" t="n">
        <v>78</v>
      </c>
      <c r="N293" s="12" t="n">
        <v>0.7</v>
      </c>
      <c r="O293" s="11" t="n">
        <v>0</v>
      </c>
      <c r="P293" s="11" t="n">
        <v>1</v>
      </c>
      <c r="Q293" s="11" t="n">
        <v>1</v>
      </c>
      <c r="R293" s="25" t="n">
        <v>2.8</v>
      </c>
      <c r="S293" s="25" t="n">
        <v>-0.2</v>
      </c>
    </row>
    <row r="294">
      <c r="A294" s="24" t="n">
        <v>46231</v>
      </c>
      <c r="B294" s="10" t="inlineStr">
        <is>
          <t>2026-07</t>
        </is>
      </c>
      <c r="C294" s="11" t="n">
        <v>7</v>
      </c>
      <c r="D294" s="10" t="inlineStr">
        <is>
          <t>Mùa mưa</t>
        </is>
      </c>
      <c r="E294" s="12" t="n">
        <v>29.6</v>
      </c>
      <c r="F294" s="12" t="n">
        <v>24.5</v>
      </c>
      <c r="G294" s="12" t="n">
        <v>26.4</v>
      </c>
      <c r="H294" s="16" t="n">
        <v>27.47</v>
      </c>
      <c r="I294" s="12" t="n">
        <v>27.28</v>
      </c>
      <c r="J294" s="12" t="n">
        <v>25.48</v>
      </c>
      <c r="K294" s="12" t="n">
        <v>1.79</v>
      </c>
      <c r="L294" s="12" t="n">
        <v>5.1</v>
      </c>
      <c r="M294" s="11" t="n">
        <v>89</v>
      </c>
      <c r="N294" s="12" t="n">
        <v>19.1</v>
      </c>
      <c r="O294" s="11" t="n">
        <v>1</v>
      </c>
      <c r="P294" s="11" t="n">
        <v>1</v>
      </c>
      <c r="Q294" s="11" t="n">
        <v>0</v>
      </c>
      <c r="R294" s="25" t="n">
        <v>-2.9</v>
      </c>
      <c r="S294" s="25" t="n">
        <v>-2.87</v>
      </c>
    </row>
    <row r="295">
      <c r="A295" s="24" t="n">
        <v>46232</v>
      </c>
      <c r="B295" s="10" t="inlineStr">
        <is>
          <t>2026-07</t>
        </is>
      </c>
      <c r="C295" s="11" t="n">
        <v>7</v>
      </c>
      <c r="D295" s="10" t="inlineStr">
        <is>
          <t>Mùa mưa</t>
        </is>
      </c>
      <c r="E295" s="12" t="n">
        <v>31.5</v>
      </c>
      <c r="F295" s="12" t="n">
        <v>24.2</v>
      </c>
      <c r="G295" s="12" t="n">
        <v>26.9</v>
      </c>
      <c r="H295" s="16" t="n">
        <v>27.14</v>
      </c>
      <c r="I295" s="12" t="n">
        <v>28.53</v>
      </c>
      <c r="J295" s="12" t="n">
        <v>25.26</v>
      </c>
      <c r="K295" s="12" t="n">
        <v>3.27</v>
      </c>
      <c r="L295" s="12" t="n">
        <v>7.3</v>
      </c>
      <c r="M295" s="11" t="n">
        <v>86</v>
      </c>
      <c r="N295" s="12" t="n">
        <v>14.7</v>
      </c>
      <c r="O295" s="11" t="n">
        <v>1</v>
      </c>
      <c r="P295" s="11" t="n">
        <v>1</v>
      </c>
      <c r="Q295" s="11" t="n">
        <v>0</v>
      </c>
      <c r="R295" s="25" t="n">
        <v>1.9</v>
      </c>
      <c r="S295" s="25" t="n">
        <v>-0.31</v>
      </c>
    </row>
    <row r="296">
      <c r="A296" s="24" t="n">
        <v>46233</v>
      </c>
      <c r="B296" s="10" t="inlineStr">
        <is>
          <t>2026-07</t>
        </is>
      </c>
      <c r="C296" s="11" t="n">
        <v>7</v>
      </c>
      <c r="D296" s="10" t="inlineStr">
        <is>
          <t>Mùa mưa</t>
        </is>
      </c>
      <c r="E296" s="12" t="n">
        <v>31.2</v>
      </c>
      <c r="F296" s="12" t="n">
        <v>24.1</v>
      </c>
      <c r="G296" s="12" t="n">
        <v>27.3</v>
      </c>
      <c r="H296" s="16" t="n">
        <v>26.94</v>
      </c>
      <c r="I296" s="12" t="n">
        <v>29</v>
      </c>
      <c r="J296" s="12" t="n">
        <v>25.65</v>
      </c>
      <c r="K296" s="12" t="n">
        <v>3.35</v>
      </c>
      <c r="L296" s="12" t="n">
        <v>7.1</v>
      </c>
      <c r="M296" s="11" t="n">
        <v>83</v>
      </c>
      <c r="N296" s="12" t="n">
        <v>7.2</v>
      </c>
      <c r="O296" s="11" t="n">
        <v>1</v>
      </c>
      <c r="P296" s="11" t="n">
        <v>1</v>
      </c>
      <c r="Q296" s="11" t="n">
        <v>0</v>
      </c>
      <c r="R296" s="25" t="n">
        <v>-0.3</v>
      </c>
      <c r="S296" s="25" t="n">
        <v>-0.33</v>
      </c>
    </row>
    <row r="297">
      <c r="A297" s="24" t="n">
        <v>46234</v>
      </c>
      <c r="B297" s="10" t="inlineStr">
        <is>
          <t>2026-07</t>
        </is>
      </c>
      <c r="C297" s="11" t="n">
        <v>7</v>
      </c>
      <c r="D297" s="10" t="inlineStr">
        <is>
          <t>Mùa mưa</t>
        </is>
      </c>
      <c r="E297" s="12" t="n">
        <v>30</v>
      </c>
      <c r="F297" s="12" t="n">
        <v>24.7</v>
      </c>
      <c r="G297" s="12" t="n">
        <v>26.7</v>
      </c>
      <c r="H297" s="16" t="n">
        <v>26.89</v>
      </c>
      <c r="I297" s="12" t="n">
        <v>27.87</v>
      </c>
      <c r="J297" s="12" t="n">
        <v>25.56</v>
      </c>
      <c r="K297" s="12" t="n">
        <v>2.31</v>
      </c>
      <c r="L297" s="12" t="n">
        <v>5.3</v>
      </c>
      <c r="M297" s="11" t="n">
        <v>89</v>
      </c>
      <c r="N297" s="12" t="n">
        <v>8.6</v>
      </c>
      <c r="O297" s="11" t="n">
        <v>1</v>
      </c>
      <c r="P297" s="11" t="n">
        <v>1</v>
      </c>
      <c r="Q297" s="11" t="n">
        <v>0</v>
      </c>
      <c r="R297" s="25" t="n">
        <v>-1.2</v>
      </c>
      <c r="S297" s="25" t="n">
        <v>-1.19</v>
      </c>
    </row>
    <row r="298">
      <c r="A298" s="24" t="n">
        <v>46235</v>
      </c>
      <c r="B298" s="10" t="inlineStr">
        <is>
          <t>2026-08</t>
        </is>
      </c>
      <c r="C298" s="11" t="n">
        <v>8</v>
      </c>
      <c r="D298" s="10" t="inlineStr">
        <is>
          <t>Mùa mưa</t>
        </is>
      </c>
      <c r="E298" s="12" t="n">
        <v>32</v>
      </c>
      <c r="F298" s="12" t="n">
        <v>24.7</v>
      </c>
      <c r="G298" s="12" t="n">
        <v>27.7</v>
      </c>
      <c r="H298" s="16" t="n">
        <v>27.06</v>
      </c>
      <c r="I298" s="12" t="n">
        <v>29.43</v>
      </c>
      <c r="J298" s="12" t="n">
        <v>25.93</v>
      </c>
      <c r="K298" s="12" t="n">
        <v>3.51</v>
      </c>
      <c r="L298" s="12" t="n">
        <v>7.3</v>
      </c>
      <c r="M298" s="11" t="n">
        <v>84</v>
      </c>
      <c r="N298" s="12" t="n">
        <v>4.8</v>
      </c>
      <c r="O298" s="11" t="n">
        <v>1</v>
      </c>
      <c r="P298" s="11" t="n">
        <v>1</v>
      </c>
      <c r="Q298" s="11" t="n">
        <v>1</v>
      </c>
      <c r="R298" s="25" t="n">
        <v>2</v>
      </c>
      <c r="S298" s="25" t="n">
        <v>1.19</v>
      </c>
    </row>
    <row r="299">
      <c r="A299" s="24" t="n">
        <v>46236</v>
      </c>
      <c r="B299" s="10" t="inlineStr">
        <is>
          <t>2026-08</t>
        </is>
      </c>
      <c r="C299" s="11" t="n">
        <v>8</v>
      </c>
      <c r="D299" s="10" t="inlineStr">
        <is>
          <t>Mùa mưa</t>
        </is>
      </c>
      <c r="E299" s="12" t="n">
        <v>33.5</v>
      </c>
      <c r="F299" s="12" t="n">
        <v>25.2</v>
      </c>
      <c r="G299" s="12" t="n">
        <v>28.6</v>
      </c>
      <c r="H299" s="16" t="n">
        <v>27.37</v>
      </c>
      <c r="I299" s="12" t="n">
        <v>30.64</v>
      </c>
      <c r="J299" s="12" t="n">
        <v>26.56</v>
      </c>
      <c r="K299" s="12" t="n">
        <v>4.08</v>
      </c>
      <c r="L299" s="12" t="n">
        <v>8.300000000000001</v>
      </c>
      <c r="M299" s="11" t="n">
        <v>80</v>
      </c>
      <c r="N299" s="12" t="n">
        <v>4.7</v>
      </c>
      <c r="O299" s="11" t="n">
        <v>1</v>
      </c>
      <c r="P299" s="11" t="n">
        <v>1</v>
      </c>
      <c r="Q299" s="11" t="n">
        <v>1</v>
      </c>
      <c r="R299" s="25" t="n">
        <v>1.5</v>
      </c>
      <c r="S299" s="25" t="n">
        <v>2.57</v>
      </c>
    </row>
    <row r="300">
      <c r="A300" s="24" t="n">
        <v>46237</v>
      </c>
      <c r="B300" s="10" t="inlineStr">
        <is>
          <t>2026-08</t>
        </is>
      </c>
      <c r="C300" s="11" t="n">
        <v>8</v>
      </c>
      <c r="D300" s="10" t="inlineStr">
        <is>
          <t>Mùa mưa</t>
        </is>
      </c>
      <c r="E300" s="12" t="n">
        <v>33.8</v>
      </c>
      <c r="F300" s="12" t="n">
        <v>25.4</v>
      </c>
      <c r="G300" s="12" t="n">
        <v>29.1</v>
      </c>
      <c r="H300" s="16" t="n">
        <v>27.53</v>
      </c>
      <c r="I300" s="12" t="n">
        <v>31.15</v>
      </c>
      <c r="J300" s="12" t="n">
        <v>27.02</v>
      </c>
      <c r="K300" s="12" t="n">
        <v>4.13</v>
      </c>
      <c r="L300" s="12" t="n">
        <v>8.4</v>
      </c>
      <c r="M300" s="11" t="n">
        <v>78</v>
      </c>
      <c r="N300" s="12" t="n">
        <v>2</v>
      </c>
      <c r="O300" s="11" t="n">
        <v>1</v>
      </c>
      <c r="P300" s="11" t="n">
        <v>1</v>
      </c>
      <c r="Q300" s="11" t="n">
        <v>1</v>
      </c>
      <c r="R300" s="25" t="n">
        <v>0.3</v>
      </c>
      <c r="S300" s="25" t="n">
        <v>2.33</v>
      </c>
    </row>
    <row r="301">
      <c r="A301" s="24" t="n">
        <v>46238</v>
      </c>
      <c r="B301" s="10" t="inlineStr">
        <is>
          <t>2026-08</t>
        </is>
      </c>
      <c r="C301" s="11" t="n">
        <v>8</v>
      </c>
      <c r="D301" s="10" t="inlineStr">
        <is>
          <t>Mùa mưa</t>
        </is>
      </c>
      <c r="E301" s="12" t="n">
        <v>33.2</v>
      </c>
      <c r="F301" s="12" t="n">
        <v>26.1</v>
      </c>
      <c r="G301" s="12" t="n">
        <v>28.8</v>
      </c>
      <c r="H301" s="16" t="n">
        <v>27.87</v>
      </c>
      <c r="I301" s="12" t="n">
        <v>30.69</v>
      </c>
      <c r="J301" s="12" t="n">
        <v>26.98</v>
      </c>
      <c r="K301" s="12" t="n">
        <v>3.71</v>
      </c>
      <c r="L301" s="12" t="n">
        <v>7.1</v>
      </c>
      <c r="M301" s="11" t="n">
        <v>80</v>
      </c>
      <c r="N301" s="12" t="n">
        <v>2.2</v>
      </c>
      <c r="O301" s="11" t="n">
        <v>1</v>
      </c>
      <c r="P301" s="11" t="n">
        <v>1</v>
      </c>
      <c r="Q301" s="11" t="n">
        <v>0</v>
      </c>
      <c r="R301" s="25" t="n">
        <v>-0.6</v>
      </c>
      <c r="S301" s="25" t="n">
        <v>1.54</v>
      </c>
    </row>
    <row r="302">
      <c r="A302" s="24" t="n">
        <v>46239</v>
      </c>
      <c r="B302" s="10" t="inlineStr">
        <is>
          <t>2026-08</t>
        </is>
      </c>
      <c r="C302" s="11" t="n">
        <v>8</v>
      </c>
      <c r="D302" s="10" t="inlineStr">
        <is>
          <t>Mùa mưa</t>
        </is>
      </c>
      <c r="E302" s="12" t="n">
        <v>31.3</v>
      </c>
      <c r="F302" s="12" t="n">
        <v>24.4</v>
      </c>
      <c r="G302" s="12" t="n">
        <v>27.5</v>
      </c>
      <c r="H302" s="16" t="n">
        <v>27.96</v>
      </c>
      <c r="I302" s="12" t="n">
        <v>28.65</v>
      </c>
      <c r="J302" s="12" t="n">
        <v>26.36</v>
      </c>
      <c r="K302" s="12" t="n">
        <v>2.29</v>
      </c>
      <c r="L302" s="12" t="n">
        <v>6.9</v>
      </c>
      <c r="M302" s="11" t="n">
        <v>86</v>
      </c>
      <c r="N302" s="12" t="n">
        <v>7.2</v>
      </c>
      <c r="O302" s="11" t="n">
        <v>1</v>
      </c>
      <c r="P302" s="11" t="n">
        <v>1</v>
      </c>
      <c r="Q302" s="11" t="n">
        <v>0</v>
      </c>
      <c r="R302" s="25" t="n">
        <v>-1.9</v>
      </c>
      <c r="S302" s="25" t="n">
        <v>-0.87</v>
      </c>
    </row>
    <row r="303">
      <c r="A303" s="24" t="n">
        <v>46240</v>
      </c>
      <c r="B303" s="10" t="inlineStr">
        <is>
          <t>2026-08</t>
        </is>
      </c>
      <c r="C303" s="11" t="n">
        <v>8</v>
      </c>
      <c r="D303" s="10" t="inlineStr">
        <is>
          <t>Mùa mưa</t>
        </is>
      </c>
      <c r="E303" s="12" t="n">
        <v>30.7</v>
      </c>
      <c r="F303" s="12" t="n">
        <v>25.6</v>
      </c>
      <c r="G303" s="12" t="n">
        <v>27.4</v>
      </c>
      <c r="H303" s="16" t="n">
        <v>27.97</v>
      </c>
      <c r="I303" s="12" t="n">
        <v>28.03</v>
      </c>
      <c r="J303" s="12" t="n">
        <v>26.87</v>
      </c>
      <c r="K303" s="12" t="n">
        <v>1.16</v>
      </c>
      <c r="L303" s="12" t="n">
        <v>5.1</v>
      </c>
      <c r="M303" s="11" t="n">
        <v>87</v>
      </c>
      <c r="N303" s="12" t="n">
        <v>16.6</v>
      </c>
      <c r="O303" s="11" t="n">
        <v>1</v>
      </c>
      <c r="P303" s="11" t="n">
        <v>1</v>
      </c>
      <c r="Q303" s="11" t="n">
        <v>0</v>
      </c>
      <c r="R303" s="25" t="n">
        <v>-0.6</v>
      </c>
      <c r="S303" s="25" t="n">
        <v>-1.44</v>
      </c>
    </row>
    <row r="304">
      <c r="A304" s="24" t="n">
        <v>46241</v>
      </c>
      <c r="B304" s="10" t="inlineStr">
        <is>
          <t>2026-08</t>
        </is>
      </c>
      <c r="C304" s="11" t="n">
        <v>8</v>
      </c>
      <c r="D304" s="10" t="inlineStr">
        <is>
          <t>Mùa mưa</t>
        </is>
      </c>
      <c r="E304" s="12" t="n">
        <v>32.1</v>
      </c>
      <c r="F304" s="12" t="n">
        <v>25.3</v>
      </c>
      <c r="G304" s="12" t="n">
        <v>27.8</v>
      </c>
      <c r="H304" s="16" t="n">
        <v>28.13</v>
      </c>
      <c r="I304" s="12" t="n">
        <v>28.85</v>
      </c>
      <c r="J304" s="12" t="n">
        <v>26.8</v>
      </c>
      <c r="K304" s="12" t="n">
        <v>2.05</v>
      </c>
      <c r="L304" s="12" t="n">
        <v>6.8</v>
      </c>
      <c r="M304" s="11" t="n">
        <v>83</v>
      </c>
      <c r="N304" s="12" t="n">
        <v>7.6</v>
      </c>
      <c r="O304" s="11" t="n">
        <v>1</v>
      </c>
      <c r="P304" s="11" t="n">
        <v>1</v>
      </c>
      <c r="Q304" s="11" t="n">
        <v>0</v>
      </c>
      <c r="R304" s="25" t="n">
        <v>1.4</v>
      </c>
      <c r="S304" s="25" t="n">
        <v>0.03</v>
      </c>
    </row>
    <row r="305">
      <c r="A305" s="24" t="n">
        <v>46242</v>
      </c>
      <c r="B305" s="10" t="inlineStr">
        <is>
          <t>2026-08</t>
        </is>
      </c>
      <c r="C305" s="11" t="n">
        <v>8</v>
      </c>
      <c r="D305" s="10" t="inlineStr">
        <is>
          <t>Mùa mưa</t>
        </is>
      </c>
      <c r="E305" s="12" t="n">
        <v>32.8</v>
      </c>
      <c r="F305" s="12" t="n">
        <v>25.7</v>
      </c>
      <c r="G305" s="12" t="n">
        <v>28.4</v>
      </c>
      <c r="H305" s="16" t="n">
        <v>28.23</v>
      </c>
      <c r="I305" s="12" t="n">
        <v>29.78</v>
      </c>
      <c r="J305" s="12" t="n">
        <v>26.99</v>
      </c>
      <c r="K305" s="12" t="n">
        <v>2.78</v>
      </c>
      <c r="L305" s="12" t="n">
        <v>7.1</v>
      </c>
      <c r="M305" s="11" t="n">
        <v>80</v>
      </c>
      <c r="N305" s="12" t="n">
        <v>3.2</v>
      </c>
      <c r="O305" s="11" t="n">
        <v>1</v>
      </c>
      <c r="P305" s="11" t="n">
        <v>1</v>
      </c>
      <c r="Q305" s="11" t="n">
        <v>0</v>
      </c>
      <c r="R305" s="25" t="n">
        <v>0.7</v>
      </c>
      <c r="S305" s="25" t="n">
        <v>0.43</v>
      </c>
    </row>
    <row r="306">
      <c r="A306" s="24" t="n">
        <v>46243</v>
      </c>
      <c r="B306" s="10" t="inlineStr">
        <is>
          <t>2026-08</t>
        </is>
      </c>
      <c r="C306" s="11" t="n">
        <v>8</v>
      </c>
      <c r="D306" s="10" t="inlineStr">
        <is>
          <t>Mùa mưa</t>
        </is>
      </c>
      <c r="E306" s="12" t="n">
        <v>31.4</v>
      </c>
      <c r="F306" s="12" t="n">
        <v>25.1</v>
      </c>
      <c r="G306" s="12" t="n">
        <v>27.1</v>
      </c>
      <c r="H306" s="16" t="n">
        <v>28.01</v>
      </c>
      <c r="I306" s="12" t="n">
        <v>28.3</v>
      </c>
      <c r="J306" s="12" t="n">
        <v>25.99</v>
      </c>
      <c r="K306" s="12" t="n">
        <v>2.31</v>
      </c>
      <c r="L306" s="12" t="n">
        <v>6.3</v>
      </c>
      <c r="M306" s="11" t="n">
        <v>85</v>
      </c>
      <c r="N306" s="12" t="n">
        <v>13</v>
      </c>
      <c r="O306" s="11" t="n">
        <v>1</v>
      </c>
      <c r="P306" s="11" t="n">
        <v>1</v>
      </c>
      <c r="Q306" s="11" t="n">
        <v>0</v>
      </c>
      <c r="R306" s="25" t="n">
        <v>-1.4</v>
      </c>
      <c r="S306" s="25" t="n">
        <v>-1.09</v>
      </c>
    </row>
    <row r="307">
      <c r="A307" s="24" t="n">
        <v>46244</v>
      </c>
      <c r="B307" s="10" t="inlineStr">
        <is>
          <t>2026-08</t>
        </is>
      </c>
      <c r="C307" s="11" t="n">
        <v>8</v>
      </c>
      <c r="D307" s="10" t="inlineStr">
        <is>
          <t>Mùa mưa</t>
        </is>
      </c>
      <c r="E307" s="12" t="n">
        <v>30.3</v>
      </c>
      <c r="F307" s="12" t="n">
        <v>24.6</v>
      </c>
      <c r="G307" s="12" t="n">
        <v>27.1</v>
      </c>
      <c r="H307" s="16" t="n">
        <v>27.73</v>
      </c>
      <c r="I307" s="12" t="n">
        <v>28.23</v>
      </c>
      <c r="J307" s="12" t="n">
        <v>25.94</v>
      </c>
      <c r="K307" s="12" t="n">
        <v>2.29</v>
      </c>
      <c r="L307" s="12" t="n">
        <v>5.7</v>
      </c>
      <c r="M307" s="11" t="n">
        <v>86</v>
      </c>
      <c r="N307" s="12" t="n">
        <v>3.7</v>
      </c>
      <c r="O307" s="11" t="n">
        <v>1</v>
      </c>
      <c r="P307" s="11" t="n">
        <v>1</v>
      </c>
      <c r="Q307" s="11" t="n">
        <v>0</v>
      </c>
      <c r="R307" s="25" t="n">
        <v>-1.1</v>
      </c>
      <c r="S307" s="25" t="n">
        <v>-1.89</v>
      </c>
    </row>
    <row r="308">
      <c r="A308" s="24" t="n">
        <v>46245</v>
      </c>
      <c r="B308" s="10" t="inlineStr">
        <is>
          <t>2026-08</t>
        </is>
      </c>
      <c r="C308" s="11" t="n">
        <v>8</v>
      </c>
      <c r="D308" s="10" t="inlineStr">
        <is>
          <t>Mùa mưa</t>
        </is>
      </c>
      <c r="E308" s="12" t="n">
        <v>30.8</v>
      </c>
      <c r="F308" s="12" t="n">
        <v>24.8</v>
      </c>
      <c r="G308" s="12" t="n">
        <v>27</v>
      </c>
      <c r="H308" s="16" t="n">
        <v>27.47</v>
      </c>
      <c r="I308" s="12" t="n">
        <v>27.83</v>
      </c>
      <c r="J308" s="12" t="n">
        <v>26.24</v>
      </c>
      <c r="K308" s="12" t="n">
        <v>1.58</v>
      </c>
      <c r="L308" s="12" t="n">
        <v>6</v>
      </c>
      <c r="M308" s="11" t="n">
        <v>84</v>
      </c>
      <c r="N308" s="12" t="n">
        <v>17.1</v>
      </c>
      <c r="O308" s="11" t="n">
        <v>1</v>
      </c>
      <c r="P308" s="11" t="n">
        <v>1</v>
      </c>
      <c r="Q308" s="11" t="n">
        <v>0</v>
      </c>
      <c r="R308" s="25" t="n">
        <v>0.5</v>
      </c>
      <c r="S308" s="25" t="n">
        <v>-0.89</v>
      </c>
    </row>
    <row r="309">
      <c r="A309" s="24" t="n">
        <v>46246</v>
      </c>
      <c r="B309" s="10" t="inlineStr">
        <is>
          <t>2026-08</t>
        </is>
      </c>
      <c r="C309" s="11" t="n">
        <v>8</v>
      </c>
      <c r="D309" s="10" t="inlineStr">
        <is>
          <t>Mùa mưa</t>
        </is>
      </c>
      <c r="E309" s="12" t="n">
        <v>32.7</v>
      </c>
      <c r="F309" s="12" t="n">
        <v>26</v>
      </c>
      <c r="G309" s="12" t="n">
        <v>29</v>
      </c>
      <c r="H309" s="16" t="n">
        <v>27.69</v>
      </c>
      <c r="I309" s="12" t="n">
        <v>30.71</v>
      </c>
      <c r="J309" s="12" t="n">
        <v>27.33</v>
      </c>
      <c r="K309" s="12" t="n">
        <v>3.38</v>
      </c>
      <c r="L309" s="12" t="n">
        <v>6.7</v>
      </c>
      <c r="M309" s="11" t="n">
        <v>76</v>
      </c>
      <c r="N309" s="12" t="n">
        <v>5.8</v>
      </c>
      <c r="O309" s="11" t="n">
        <v>1</v>
      </c>
      <c r="P309" s="11" t="n">
        <v>1</v>
      </c>
      <c r="Q309" s="11" t="n">
        <v>0</v>
      </c>
      <c r="R309" s="25" t="n">
        <v>1.9</v>
      </c>
      <c r="S309" s="25" t="n">
        <v>1.36</v>
      </c>
    </row>
    <row r="310">
      <c r="A310" s="24" t="n">
        <v>46247</v>
      </c>
      <c r="B310" s="10" t="inlineStr">
        <is>
          <t>2026-08</t>
        </is>
      </c>
      <c r="C310" s="11" t="n">
        <v>8</v>
      </c>
      <c r="D310" s="10" t="inlineStr">
        <is>
          <t>Mùa mưa</t>
        </is>
      </c>
      <c r="E310" s="12" t="n">
        <v>33.2</v>
      </c>
      <c r="F310" s="12" t="n">
        <v>25.4</v>
      </c>
      <c r="G310" s="12" t="n">
        <v>29.2</v>
      </c>
      <c r="H310" s="16" t="n">
        <v>27.94</v>
      </c>
      <c r="I310" s="12" t="n">
        <v>31.03</v>
      </c>
      <c r="J310" s="12" t="n">
        <v>27.47</v>
      </c>
      <c r="K310" s="12" t="n">
        <v>3.55</v>
      </c>
      <c r="L310" s="12" t="n">
        <v>7.8</v>
      </c>
      <c r="M310" s="11" t="n">
        <v>72</v>
      </c>
      <c r="N310" s="12" t="n">
        <v>1.7</v>
      </c>
      <c r="O310" s="11" t="n">
        <v>1</v>
      </c>
      <c r="P310" s="11" t="n">
        <v>1</v>
      </c>
      <c r="Q310" s="11" t="n">
        <v>0</v>
      </c>
      <c r="R310" s="25" t="n">
        <v>0.5</v>
      </c>
      <c r="S310" s="25" t="n">
        <v>1.66</v>
      </c>
    </row>
    <row r="311">
      <c r="A311" s="24" t="n">
        <v>46248</v>
      </c>
      <c r="B311" s="10" t="inlineStr">
        <is>
          <t>2026-08</t>
        </is>
      </c>
      <c r="C311" s="11" t="n">
        <v>8</v>
      </c>
      <c r="D311" s="10" t="inlineStr">
        <is>
          <t>Mùa mưa</t>
        </is>
      </c>
      <c r="E311" s="12" t="n">
        <v>32.7</v>
      </c>
      <c r="F311" s="12" t="n">
        <v>25.7</v>
      </c>
      <c r="G311" s="12" t="n">
        <v>28.4</v>
      </c>
      <c r="H311" s="16" t="n">
        <v>28.03</v>
      </c>
      <c r="I311" s="12" t="n">
        <v>30.18</v>
      </c>
      <c r="J311" s="12" t="n">
        <v>26.63</v>
      </c>
      <c r="K311" s="12" t="n">
        <v>3.55</v>
      </c>
      <c r="L311" s="12" t="n">
        <v>7</v>
      </c>
      <c r="M311" s="11" t="n">
        <v>80</v>
      </c>
      <c r="N311" s="12" t="n">
        <v>9.4</v>
      </c>
      <c r="O311" s="11" t="n">
        <v>1</v>
      </c>
      <c r="P311" s="11" t="n">
        <v>1</v>
      </c>
      <c r="Q311" s="11" t="n">
        <v>0</v>
      </c>
      <c r="R311" s="25" t="n">
        <v>-0.5</v>
      </c>
      <c r="S311" s="25" t="n">
        <v>0.8</v>
      </c>
    </row>
    <row r="312">
      <c r="A312" s="24" t="n">
        <v>46249</v>
      </c>
      <c r="B312" s="10" t="inlineStr">
        <is>
          <t>2026-08</t>
        </is>
      </c>
      <c r="C312" s="11" t="n">
        <v>8</v>
      </c>
      <c r="D312" s="10" t="inlineStr">
        <is>
          <t>Mùa mưa</t>
        </is>
      </c>
      <c r="E312" s="12" t="n">
        <v>31.4</v>
      </c>
      <c r="F312" s="12" t="n">
        <v>25.8</v>
      </c>
      <c r="G312" s="12" t="n">
        <v>27.7</v>
      </c>
      <c r="H312" s="16" t="n">
        <v>27.93</v>
      </c>
      <c r="I312" s="12" t="n">
        <v>28.78</v>
      </c>
      <c r="J312" s="12" t="n">
        <v>26.74</v>
      </c>
      <c r="K312" s="12" t="n">
        <v>2.04</v>
      </c>
      <c r="L312" s="12" t="n">
        <v>5.6</v>
      </c>
      <c r="M312" s="11" t="n">
        <v>81</v>
      </c>
      <c r="N312" s="12" t="n">
        <v>4.4</v>
      </c>
      <c r="O312" s="11" t="n">
        <v>1</v>
      </c>
      <c r="P312" s="11" t="n">
        <v>1</v>
      </c>
      <c r="Q312" s="11" t="n">
        <v>0</v>
      </c>
      <c r="R312" s="25" t="n">
        <v>-1.3</v>
      </c>
      <c r="S312" s="25" t="n">
        <v>-0.59</v>
      </c>
    </row>
    <row r="313">
      <c r="A313" s="24" t="n">
        <v>46250</v>
      </c>
      <c r="B313" s="10" t="inlineStr">
        <is>
          <t>2026-08</t>
        </is>
      </c>
      <c r="C313" s="11" t="n">
        <v>8</v>
      </c>
      <c r="D313" s="10" t="inlineStr">
        <is>
          <t>Mùa mưa</t>
        </is>
      </c>
      <c r="E313" s="12" t="n">
        <v>31.9</v>
      </c>
      <c r="F313" s="12" t="n">
        <v>25.5</v>
      </c>
      <c r="G313" s="12" t="n">
        <v>27.7</v>
      </c>
      <c r="H313" s="16" t="n">
        <v>28.01</v>
      </c>
      <c r="I313" s="12" t="n">
        <v>29.01</v>
      </c>
      <c r="J313" s="12" t="n">
        <v>26.49</v>
      </c>
      <c r="K313" s="12" t="n">
        <v>2.52</v>
      </c>
      <c r="L313" s="12" t="n">
        <v>6.4</v>
      </c>
      <c r="M313" s="11" t="n">
        <v>82</v>
      </c>
      <c r="N313" s="12" t="n">
        <v>6.7</v>
      </c>
      <c r="O313" s="11" t="n">
        <v>1</v>
      </c>
      <c r="P313" s="11" t="n">
        <v>1</v>
      </c>
      <c r="Q313" s="11" t="n">
        <v>0</v>
      </c>
      <c r="R313" s="25" t="n">
        <v>0.5</v>
      </c>
      <c r="S313" s="25" t="n">
        <v>0.11</v>
      </c>
    </row>
    <row r="314">
      <c r="A314" s="24" t="n">
        <v>46251</v>
      </c>
      <c r="B314" s="10" t="inlineStr">
        <is>
          <t>2026-08</t>
        </is>
      </c>
      <c r="C314" s="11" t="n">
        <v>8</v>
      </c>
      <c r="D314" s="10" t="inlineStr">
        <is>
          <t>Mùa mưa</t>
        </is>
      </c>
      <c r="E314" s="12" t="n">
        <v>32.1</v>
      </c>
      <c r="F314" s="12" t="n">
        <v>25.8</v>
      </c>
      <c r="G314" s="12" t="n">
        <v>28</v>
      </c>
      <c r="H314" s="16" t="n">
        <v>28.14</v>
      </c>
      <c r="I314" s="12" t="n">
        <v>29.56</v>
      </c>
      <c r="J314" s="12" t="n">
        <v>26.57</v>
      </c>
      <c r="K314" s="12" t="n">
        <v>2.99</v>
      </c>
      <c r="L314" s="12" t="n">
        <v>6.3</v>
      </c>
      <c r="M314" s="11" t="n">
        <v>83</v>
      </c>
      <c r="N314" s="12" t="n">
        <v>5.7</v>
      </c>
      <c r="O314" s="11" t="n">
        <v>1</v>
      </c>
      <c r="P314" s="11" t="n">
        <v>1</v>
      </c>
      <c r="Q314" s="11" t="n">
        <v>0</v>
      </c>
      <c r="R314" s="25" t="n">
        <v>0.2</v>
      </c>
      <c r="S314" s="25" t="n">
        <v>0.24</v>
      </c>
    </row>
    <row r="315">
      <c r="A315" s="24" t="n">
        <v>46252</v>
      </c>
      <c r="B315" s="10" t="inlineStr">
        <is>
          <t>2026-08</t>
        </is>
      </c>
      <c r="C315" s="11" t="n">
        <v>8</v>
      </c>
      <c r="D315" s="10" t="inlineStr">
        <is>
          <t>Mùa mưa</t>
        </is>
      </c>
      <c r="E315" s="12" t="n">
        <v>30.5</v>
      </c>
      <c r="F315" s="12" t="n">
        <v>25.1</v>
      </c>
      <c r="G315" s="12" t="n">
        <v>27.2</v>
      </c>
      <c r="H315" s="16" t="n">
        <v>28.17</v>
      </c>
      <c r="I315" s="12" t="n">
        <v>27.95</v>
      </c>
      <c r="J315" s="12" t="n">
        <v>26.46</v>
      </c>
      <c r="K315" s="12" t="n">
        <v>1.49</v>
      </c>
      <c r="L315" s="12" t="n">
        <v>5.4</v>
      </c>
      <c r="M315" s="11" t="n">
        <v>87</v>
      </c>
      <c r="N315" s="12" t="n">
        <v>20.9</v>
      </c>
      <c r="O315" s="11" t="n">
        <v>1</v>
      </c>
      <c r="P315" s="11" t="n">
        <v>1</v>
      </c>
      <c r="Q315" s="11" t="n">
        <v>0</v>
      </c>
      <c r="R315" s="25" t="n">
        <v>-1.6</v>
      </c>
      <c r="S315" s="25" t="n">
        <v>-1.61</v>
      </c>
    </row>
    <row r="316">
      <c r="A316" s="24" t="n">
        <v>46253</v>
      </c>
      <c r="B316" s="10" t="inlineStr">
        <is>
          <t>2026-08</t>
        </is>
      </c>
      <c r="C316" s="11" t="n">
        <v>8</v>
      </c>
      <c r="D316" s="10" t="inlineStr">
        <is>
          <t>Mùa mưa</t>
        </is>
      </c>
      <c r="E316" s="12" t="n">
        <v>29.4</v>
      </c>
      <c r="F316" s="12" t="n">
        <v>25</v>
      </c>
      <c r="G316" s="12" t="n">
        <v>27</v>
      </c>
      <c r="H316" s="16" t="n">
        <v>27.89</v>
      </c>
      <c r="I316" s="12" t="n">
        <v>27.91</v>
      </c>
      <c r="J316" s="12" t="n">
        <v>26.23</v>
      </c>
      <c r="K316" s="12" t="n">
        <v>1.67</v>
      </c>
      <c r="L316" s="12" t="n">
        <v>4.4</v>
      </c>
      <c r="M316" s="11" t="n">
        <v>85</v>
      </c>
      <c r="N316" s="12" t="n">
        <v>10.3</v>
      </c>
      <c r="O316" s="11" t="n">
        <v>1</v>
      </c>
      <c r="P316" s="11" t="n">
        <v>1</v>
      </c>
      <c r="Q316" s="11" t="n">
        <v>0</v>
      </c>
      <c r="R316" s="25" t="n">
        <v>-1.1</v>
      </c>
      <c r="S316" s="25" t="n">
        <v>-2.67</v>
      </c>
    </row>
    <row r="317">
      <c r="A317" s="24" t="n">
        <v>46254</v>
      </c>
      <c r="B317" s="10" t="inlineStr">
        <is>
          <t>2026-08</t>
        </is>
      </c>
      <c r="C317" s="11" t="n">
        <v>8</v>
      </c>
      <c r="D317" s="10" t="inlineStr">
        <is>
          <t>Mùa mưa</t>
        </is>
      </c>
      <c r="E317" s="12" t="n">
        <v>32</v>
      </c>
      <c r="F317" s="12" t="n">
        <v>25.9</v>
      </c>
      <c r="G317" s="12" t="n">
        <v>28.5</v>
      </c>
      <c r="H317" s="16" t="n">
        <v>27.79</v>
      </c>
      <c r="I317" s="12" t="n">
        <v>29.85</v>
      </c>
      <c r="J317" s="12" t="n">
        <v>27.24</v>
      </c>
      <c r="K317" s="12" t="n">
        <v>2.61</v>
      </c>
      <c r="L317" s="12" t="n">
        <v>6.1</v>
      </c>
      <c r="M317" s="11" t="n">
        <v>74</v>
      </c>
      <c r="N317" s="12" t="n">
        <v>1.2</v>
      </c>
      <c r="O317" s="11" t="n">
        <v>1</v>
      </c>
      <c r="P317" s="11" t="n">
        <v>0</v>
      </c>
      <c r="Q317" s="11" t="n">
        <v>1</v>
      </c>
      <c r="R317" s="25" t="n">
        <v>2.6</v>
      </c>
      <c r="S317" s="25" t="n">
        <v>0.4</v>
      </c>
    </row>
    <row r="318">
      <c r="A318" s="24" t="n">
        <v>46255</v>
      </c>
      <c r="B318" s="10" t="inlineStr">
        <is>
          <t>2026-08</t>
        </is>
      </c>
      <c r="C318" s="11" t="n">
        <v>8</v>
      </c>
      <c r="D318" s="10" t="inlineStr">
        <is>
          <t>Mùa mưa</t>
        </is>
      </c>
      <c r="E318" s="12" t="n">
        <v>32.4</v>
      </c>
      <c r="F318" s="12" t="n">
        <v>25.2</v>
      </c>
      <c r="G318" s="12" t="n">
        <v>28.6</v>
      </c>
      <c r="H318" s="16" t="n">
        <v>27.81</v>
      </c>
      <c r="I318" s="12" t="n">
        <v>30.21</v>
      </c>
      <c r="J318" s="12" t="n">
        <v>27.03</v>
      </c>
      <c r="K318" s="12" t="n">
        <v>3.18</v>
      </c>
      <c r="L318" s="12" t="n">
        <v>7.2</v>
      </c>
      <c r="M318" s="11" t="n">
        <v>75</v>
      </c>
      <c r="N318" s="12" t="n">
        <v>0.7</v>
      </c>
      <c r="O318" s="11" t="n">
        <v>0</v>
      </c>
      <c r="P318" s="11" t="n">
        <v>0</v>
      </c>
      <c r="Q318" s="11" t="n">
        <v>0</v>
      </c>
      <c r="R318" s="25" t="n">
        <v>0.4</v>
      </c>
      <c r="S318" s="25" t="n">
        <v>0.97</v>
      </c>
    </row>
    <row r="319">
      <c r="A319" s="24" t="n">
        <v>46256</v>
      </c>
      <c r="B319" s="10" t="inlineStr">
        <is>
          <t>2026-08</t>
        </is>
      </c>
      <c r="C319" s="11" t="n">
        <v>8</v>
      </c>
      <c r="D319" s="10" t="inlineStr">
        <is>
          <t>Mùa mưa</t>
        </is>
      </c>
      <c r="E319" s="12" t="n">
        <v>33.1</v>
      </c>
      <c r="F319" s="12" t="n">
        <v>24.7</v>
      </c>
      <c r="G319" s="12" t="n">
        <v>28.8</v>
      </c>
      <c r="H319" s="16" t="n">
        <v>27.97</v>
      </c>
      <c r="I319" s="12" t="n">
        <v>30.79</v>
      </c>
      <c r="J319" s="12" t="n">
        <v>26.87</v>
      </c>
      <c r="K319" s="12" t="n">
        <v>3.93</v>
      </c>
      <c r="L319" s="12" t="n">
        <v>8.4</v>
      </c>
      <c r="M319" s="11" t="n">
        <v>73</v>
      </c>
      <c r="N319" s="12" t="n">
        <v>0.4</v>
      </c>
      <c r="O319" s="11" t="n">
        <v>0</v>
      </c>
      <c r="P319" s="11" t="n">
        <v>1</v>
      </c>
      <c r="Q319" s="11" t="n">
        <v>0</v>
      </c>
      <c r="R319" s="25" t="n">
        <v>0.7</v>
      </c>
      <c r="S319" s="25" t="n">
        <v>1.71</v>
      </c>
    </row>
    <row r="320">
      <c r="A320" s="24" t="n">
        <v>46257</v>
      </c>
      <c r="B320" s="10" t="inlineStr">
        <is>
          <t>2026-08</t>
        </is>
      </c>
      <c r="C320" s="11" t="n">
        <v>8</v>
      </c>
      <c r="D320" s="10" t="inlineStr">
        <is>
          <t>Mùa mưa</t>
        </is>
      </c>
      <c r="E320" s="12" t="n">
        <v>31.1</v>
      </c>
      <c r="F320" s="12" t="n">
        <v>25.4</v>
      </c>
      <c r="G320" s="12" t="n">
        <v>27.7</v>
      </c>
      <c r="H320" s="16" t="n">
        <v>27.97</v>
      </c>
      <c r="I320" s="12" t="n">
        <v>28.76</v>
      </c>
      <c r="J320" s="12" t="n">
        <v>26.65</v>
      </c>
      <c r="K320" s="12" t="n">
        <v>2.11</v>
      </c>
      <c r="L320" s="12" t="n">
        <v>5.7</v>
      </c>
      <c r="M320" s="11" t="n">
        <v>83</v>
      </c>
      <c r="N320" s="12" t="n">
        <v>8.5</v>
      </c>
      <c r="O320" s="11" t="n">
        <v>1</v>
      </c>
      <c r="P320" s="11" t="n">
        <v>1</v>
      </c>
      <c r="Q320" s="11" t="n">
        <v>0</v>
      </c>
      <c r="R320" s="25" t="n">
        <v>-2</v>
      </c>
      <c r="S320" s="25" t="n">
        <v>-0.53</v>
      </c>
    </row>
    <row r="321">
      <c r="A321" s="24" t="n">
        <v>46258</v>
      </c>
      <c r="B321" s="10" t="inlineStr">
        <is>
          <t>2026-08</t>
        </is>
      </c>
      <c r="C321" s="11" t="n">
        <v>8</v>
      </c>
      <c r="D321" s="10" t="inlineStr">
        <is>
          <t>Mùa mưa</t>
        </is>
      </c>
      <c r="E321" s="12" t="n">
        <v>33.3</v>
      </c>
      <c r="F321" s="12" t="n">
        <v>26.1</v>
      </c>
      <c r="G321" s="12" t="n">
        <v>28.6</v>
      </c>
      <c r="H321" s="16" t="n">
        <v>28.06</v>
      </c>
      <c r="I321" s="12" t="n">
        <v>30.19</v>
      </c>
      <c r="J321" s="12" t="n">
        <v>27.11</v>
      </c>
      <c r="K321" s="12" t="n">
        <v>3.08</v>
      </c>
      <c r="L321" s="12" t="n">
        <v>7.2</v>
      </c>
      <c r="M321" s="11" t="n">
        <v>78</v>
      </c>
      <c r="N321" s="12" t="n">
        <v>4.6</v>
      </c>
      <c r="O321" s="11" t="n">
        <v>1</v>
      </c>
      <c r="P321" s="11" t="n">
        <v>1</v>
      </c>
      <c r="Q321" s="11" t="n">
        <v>1</v>
      </c>
      <c r="R321" s="25" t="n">
        <v>2.2</v>
      </c>
      <c r="S321" s="25" t="n">
        <v>1.79</v>
      </c>
    </row>
    <row r="322">
      <c r="A322" s="24" t="n">
        <v>46259</v>
      </c>
      <c r="B322" s="10" t="inlineStr">
        <is>
          <t>2026-08</t>
        </is>
      </c>
      <c r="C322" s="11" t="n">
        <v>8</v>
      </c>
      <c r="D322" s="10" t="inlineStr">
        <is>
          <t>Mùa mưa</t>
        </is>
      </c>
      <c r="E322" s="12" t="n">
        <v>33.2</v>
      </c>
      <c r="F322" s="12" t="n">
        <v>25.9</v>
      </c>
      <c r="G322" s="12" t="n">
        <v>28.9</v>
      </c>
      <c r="H322" s="16" t="n">
        <v>28.3</v>
      </c>
      <c r="I322" s="12" t="n">
        <v>30.72</v>
      </c>
      <c r="J322" s="12" t="n">
        <v>27.14</v>
      </c>
      <c r="K322" s="12" t="n">
        <v>3.58</v>
      </c>
      <c r="L322" s="12" t="n">
        <v>7.3</v>
      </c>
      <c r="M322" s="11" t="n">
        <v>72</v>
      </c>
      <c r="N322" s="12" t="n">
        <v>1.1</v>
      </c>
      <c r="O322" s="11" t="n">
        <v>1</v>
      </c>
      <c r="P322" s="11" t="n">
        <v>1</v>
      </c>
      <c r="Q322" s="11" t="n">
        <v>0</v>
      </c>
      <c r="R322" s="25" t="n">
        <v>-0.1</v>
      </c>
      <c r="S322" s="25" t="n">
        <v>1.51</v>
      </c>
    </row>
    <row r="323">
      <c r="A323" s="24" t="n">
        <v>46260</v>
      </c>
      <c r="B323" s="10" t="inlineStr">
        <is>
          <t>2026-08</t>
        </is>
      </c>
      <c r="C323" s="11" t="n">
        <v>8</v>
      </c>
      <c r="D323" s="10" t="inlineStr">
        <is>
          <t>Mùa mưa</t>
        </is>
      </c>
      <c r="E323" s="12" t="n">
        <v>33.2</v>
      </c>
      <c r="F323" s="12" t="n">
        <v>25.9</v>
      </c>
      <c r="G323" s="12" t="n">
        <v>28.4</v>
      </c>
      <c r="H323" s="16" t="n">
        <v>28.5</v>
      </c>
      <c r="I323" s="12" t="n">
        <v>30.06</v>
      </c>
      <c r="J323" s="12" t="n">
        <v>26.8</v>
      </c>
      <c r="K323" s="12" t="n">
        <v>3.26</v>
      </c>
      <c r="L323" s="12" t="n">
        <v>7.3</v>
      </c>
      <c r="M323" s="11" t="n">
        <v>76</v>
      </c>
      <c r="N323" s="12" t="n">
        <v>7.2</v>
      </c>
      <c r="O323" s="11" t="n">
        <v>1</v>
      </c>
      <c r="P323" s="11" t="n">
        <v>1</v>
      </c>
      <c r="Q323" s="11" t="n">
        <v>0</v>
      </c>
      <c r="R323" s="25" t="n">
        <v>0</v>
      </c>
      <c r="S323" s="25" t="n">
        <v>1.13</v>
      </c>
    </row>
    <row r="324">
      <c r="A324" s="24" t="n">
        <v>46261</v>
      </c>
      <c r="B324" s="10" t="inlineStr">
        <is>
          <t>2026-08</t>
        </is>
      </c>
      <c r="C324" s="11" t="n">
        <v>8</v>
      </c>
      <c r="D324" s="10" t="inlineStr">
        <is>
          <t>Mùa mưa</t>
        </is>
      </c>
      <c r="E324" s="12" t="n">
        <v>32.5</v>
      </c>
      <c r="F324" s="12" t="n">
        <v>24.9</v>
      </c>
      <c r="G324" s="12" t="n">
        <v>28.5</v>
      </c>
      <c r="H324" s="16" t="n">
        <v>28.5</v>
      </c>
      <c r="I324" s="12" t="n">
        <v>29.96</v>
      </c>
      <c r="J324" s="12" t="n">
        <v>27.08</v>
      </c>
      <c r="K324" s="12" t="n">
        <v>2.88</v>
      </c>
      <c r="L324" s="12" t="n">
        <v>7.6</v>
      </c>
      <c r="M324" s="11" t="n">
        <v>77</v>
      </c>
      <c r="N324" s="12" t="n">
        <v>5.5</v>
      </c>
      <c r="O324" s="11" t="n">
        <v>1</v>
      </c>
      <c r="P324" s="11" t="n">
        <v>1</v>
      </c>
      <c r="Q324" s="11" t="n">
        <v>0</v>
      </c>
      <c r="R324" s="25" t="n">
        <v>-0.7</v>
      </c>
      <c r="S324" s="25" t="n">
        <v>-0.11</v>
      </c>
    </row>
    <row r="325">
      <c r="A325" s="24" t="n">
        <v>46262</v>
      </c>
      <c r="B325" s="10" t="inlineStr">
        <is>
          <t>2026-08</t>
        </is>
      </c>
      <c r="C325" s="11" t="n">
        <v>8</v>
      </c>
      <c r="D325" s="10" t="inlineStr">
        <is>
          <t>Mùa mưa</t>
        </is>
      </c>
      <c r="E325" s="12" t="n">
        <v>31.1</v>
      </c>
      <c r="F325" s="12" t="n">
        <v>25.5</v>
      </c>
      <c r="G325" s="12" t="n">
        <v>27.3</v>
      </c>
      <c r="H325" s="16" t="n">
        <v>28.31</v>
      </c>
      <c r="I325" s="12" t="n">
        <v>28.03</v>
      </c>
      <c r="J325" s="12" t="n">
        <v>26.69</v>
      </c>
      <c r="K325" s="12" t="n">
        <v>1.34</v>
      </c>
      <c r="L325" s="12" t="n">
        <v>5.6</v>
      </c>
      <c r="M325" s="11" t="n">
        <v>82</v>
      </c>
      <c r="N325" s="12" t="n">
        <v>7.5</v>
      </c>
      <c r="O325" s="11" t="n">
        <v>1</v>
      </c>
      <c r="P325" s="11" t="n">
        <v>1</v>
      </c>
      <c r="Q325" s="11" t="n">
        <v>0</v>
      </c>
      <c r="R325" s="25" t="n">
        <v>-1.4</v>
      </c>
      <c r="S325" s="25" t="n">
        <v>-1.59</v>
      </c>
    </row>
    <row r="326">
      <c r="A326" s="24" t="n">
        <v>46263</v>
      </c>
      <c r="B326" s="10" t="inlineStr">
        <is>
          <t>2026-08</t>
        </is>
      </c>
      <c r="C326" s="11" t="n">
        <v>8</v>
      </c>
      <c r="D326" s="10" t="inlineStr">
        <is>
          <t>Mùa mưa</t>
        </is>
      </c>
      <c r="E326" s="12" t="n">
        <v>31.9</v>
      </c>
      <c r="F326" s="12" t="n">
        <v>25.3</v>
      </c>
      <c r="G326" s="12" t="n">
        <v>27.2</v>
      </c>
      <c r="H326" s="16" t="n">
        <v>28.09</v>
      </c>
      <c r="I326" s="12" t="n">
        <v>28.38</v>
      </c>
      <c r="J326" s="12" t="n">
        <v>25.98</v>
      </c>
      <c r="K326" s="12" t="n">
        <v>2.4</v>
      </c>
      <c r="L326" s="12" t="n">
        <v>6.6</v>
      </c>
      <c r="M326" s="11" t="n">
        <v>85</v>
      </c>
      <c r="N326" s="12" t="n">
        <v>19.6</v>
      </c>
      <c r="O326" s="11" t="n">
        <v>1</v>
      </c>
      <c r="P326" s="11" t="n">
        <v>1</v>
      </c>
      <c r="Q326" s="11" t="n">
        <v>0</v>
      </c>
      <c r="R326" s="25" t="n">
        <v>0.8</v>
      </c>
      <c r="S326" s="25" t="n">
        <v>-0.6</v>
      </c>
    </row>
    <row r="327">
      <c r="A327" s="24" t="n">
        <v>46264</v>
      </c>
      <c r="B327" s="10" t="inlineStr">
        <is>
          <t>2026-08</t>
        </is>
      </c>
      <c r="C327" s="11" t="n">
        <v>8</v>
      </c>
      <c r="D327" s="10" t="inlineStr">
        <is>
          <t>Mùa mưa</t>
        </is>
      </c>
      <c r="E327" s="12" t="n">
        <v>31.7</v>
      </c>
      <c r="F327" s="12" t="n">
        <v>24.4</v>
      </c>
      <c r="G327" s="12" t="n">
        <v>27.1</v>
      </c>
      <c r="H327" s="16" t="n">
        <v>28</v>
      </c>
      <c r="I327" s="12" t="n">
        <v>28.56</v>
      </c>
      <c r="J327" s="12" t="n">
        <v>25.61</v>
      </c>
      <c r="K327" s="12" t="n">
        <v>2.95</v>
      </c>
      <c r="L327" s="12" t="n">
        <v>7.3</v>
      </c>
      <c r="M327" s="11" t="n">
        <v>86</v>
      </c>
      <c r="N327" s="12" t="n">
        <v>13.6</v>
      </c>
      <c r="O327" s="11" t="n">
        <v>1</v>
      </c>
      <c r="P327" s="11" t="n">
        <v>1</v>
      </c>
      <c r="Q327" s="11" t="n">
        <v>0</v>
      </c>
      <c r="R327" s="25" t="n">
        <v>-0.2</v>
      </c>
      <c r="S327" s="25" t="n">
        <v>-0.63</v>
      </c>
    </row>
    <row r="328">
      <c r="A328" s="24" t="n">
        <v>46265</v>
      </c>
      <c r="B328" s="10" t="inlineStr">
        <is>
          <t>2026-08</t>
        </is>
      </c>
      <c r="C328" s="11" t="n">
        <v>8</v>
      </c>
      <c r="D328" s="10" t="inlineStr">
        <is>
          <t>Mùa mưa</t>
        </is>
      </c>
      <c r="E328" s="12" t="n">
        <v>31.4</v>
      </c>
      <c r="F328" s="12" t="n">
        <v>25.7</v>
      </c>
      <c r="G328" s="12" t="n">
        <v>27.7</v>
      </c>
      <c r="H328" s="16" t="n">
        <v>27.87</v>
      </c>
      <c r="I328" s="12" t="n">
        <v>28.79</v>
      </c>
      <c r="J328" s="12" t="n">
        <v>26.74</v>
      </c>
      <c r="K328" s="12" t="n">
        <v>2.05</v>
      </c>
      <c r="L328" s="12" t="n">
        <v>5.7</v>
      </c>
      <c r="M328" s="11" t="n">
        <v>82</v>
      </c>
      <c r="N328" s="12" t="n">
        <v>3</v>
      </c>
      <c r="O328" s="11" t="n">
        <v>1</v>
      </c>
      <c r="P328" s="11" t="n">
        <v>0</v>
      </c>
      <c r="Q328" s="11" t="n">
        <v>0</v>
      </c>
      <c r="R328" s="25" t="n">
        <v>-0.3</v>
      </c>
      <c r="S328" s="25" t="n">
        <v>-1.01</v>
      </c>
    </row>
    <row r="329">
      <c r="A329" s="24" t="n">
        <v>46266</v>
      </c>
      <c r="B329" s="10" t="inlineStr">
        <is>
          <t>2026-09</t>
        </is>
      </c>
      <c r="C329" s="11" t="n">
        <v>9</v>
      </c>
      <c r="D329" s="10" t="inlineStr">
        <is>
          <t>Mùa mưa</t>
        </is>
      </c>
      <c r="E329" s="12" t="n">
        <v>31.7</v>
      </c>
      <c r="F329" s="12" t="n">
        <v>25.5</v>
      </c>
      <c r="G329" s="12" t="n">
        <v>28.2</v>
      </c>
      <c r="H329" s="16" t="n">
        <v>27.77</v>
      </c>
      <c r="I329" s="12" t="n">
        <v>29.51</v>
      </c>
      <c r="J329" s="12" t="n">
        <v>27.02</v>
      </c>
      <c r="K329" s="12" t="n">
        <v>2.49</v>
      </c>
      <c r="L329" s="12" t="n">
        <v>6.2</v>
      </c>
      <c r="M329" s="11" t="n">
        <v>78</v>
      </c>
      <c r="N329" s="12" t="n">
        <v>0.8</v>
      </c>
      <c r="O329" s="11" t="n">
        <v>0</v>
      </c>
      <c r="P329" s="11" t="n">
        <v>0</v>
      </c>
      <c r="Q329" s="11" t="n">
        <v>0</v>
      </c>
      <c r="R329" s="25" t="n">
        <v>0.3</v>
      </c>
      <c r="S329" s="25" t="n">
        <v>-0.44</v>
      </c>
    </row>
    <row r="330">
      <c r="A330" s="24" t="n">
        <v>46267</v>
      </c>
      <c r="B330" s="10" t="inlineStr">
        <is>
          <t>2026-09</t>
        </is>
      </c>
      <c r="C330" s="11" t="n">
        <v>9</v>
      </c>
      <c r="D330" s="10" t="inlineStr">
        <is>
          <t>Mùa mưa</t>
        </is>
      </c>
      <c r="E330" s="12" t="n">
        <v>32.7</v>
      </c>
      <c r="F330" s="12" t="n">
        <v>25.9</v>
      </c>
      <c r="G330" s="12" t="n">
        <v>28.8</v>
      </c>
      <c r="H330" s="16" t="n">
        <v>27.83</v>
      </c>
      <c r="I330" s="12" t="n">
        <v>30.25</v>
      </c>
      <c r="J330" s="12" t="n">
        <v>27.3</v>
      </c>
      <c r="K330" s="12" t="n">
        <v>2.95</v>
      </c>
      <c r="L330" s="12" t="n">
        <v>6.8</v>
      </c>
      <c r="M330" s="11" t="n">
        <v>74</v>
      </c>
      <c r="N330" s="12" t="n">
        <v>0.3</v>
      </c>
      <c r="O330" s="11" t="n">
        <v>0</v>
      </c>
      <c r="P330" s="11" t="n">
        <v>1</v>
      </c>
      <c r="Q330" s="11" t="n">
        <v>0</v>
      </c>
      <c r="R330" s="25" t="n">
        <v>1</v>
      </c>
      <c r="S330" s="25" t="n">
        <v>0.77</v>
      </c>
    </row>
    <row r="331">
      <c r="A331" s="24" t="n">
        <v>46268</v>
      </c>
      <c r="B331" s="10" t="inlineStr">
        <is>
          <t>2026-09</t>
        </is>
      </c>
      <c r="C331" s="11" t="n">
        <v>9</v>
      </c>
      <c r="D331" s="10" t="inlineStr">
        <is>
          <t>Mùa mưa</t>
        </is>
      </c>
      <c r="E331" s="12" t="n">
        <v>33.2</v>
      </c>
      <c r="F331" s="12" t="n">
        <v>25.7</v>
      </c>
      <c r="G331" s="12" t="n">
        <v>28.6</v>
      </c>
      <c r="H331" s="16" t="n">
        <v>27.84</v>
      </c>
      <c r="I331" s="12" t="n">
        <v>30.43</v>
      </c>
      <c r="J331" s="12" t="n">
        <v>26.9</v>
      </c>
      <c r="K331" s="12" t="n">
        <v>3.52</v>
      </c>
      <c r="L331" s="12" t="n">
        <v>7.5</v>
      </c>
      <c r="M331" s="11" t="n">
        <v>77</v>
      </c>
      <c r="N331" s="12" t="n">
        <v>4.1</v>
      </c>
      <c r="O331" s="11" t="n">
        <v>1</v>
      </c>
      <c r="P331" s="11" t="n">
        <v>1</v>
      </c>
      <c r="Q331" s="11" t="n">
        <v>0</v>
      </c>
      <c r="R331" s="25" t="n">
        <v>0.5</v>
      </c>
      <c r="S331" s="25" t="n">
        <v>1.34</v>
      </c>
    </row>
    <row r="332">
      <c r="A332" s="24" t="n">
        <v>46269</v>
      </c>
      <c r="B332" s="10" t="inlineStr">
        <is>
          <t>2026-09</t>
        </is>
      </c>
      <c r="C332" s="11" t="n">
        <v>9</v>
      </c>
      <c r="D332" s="10" t="inlineStr">
        <is>
          <t>Mùa mưa</t>
        </is>
      </c>
      <c r="E332" s="12" t="n">
        <v>33</v>
      </c>
      <c r="F332" s="12" t="n">
        <v>25.9</v>
      </c>
      <c r="G332" s="12" t="n">
        <v>28</v>
      </c>
      <c r="H332" s="16" t="n">
        <v>27.94</v>
      </c>
      <c r="I332" s="12" t="n">
        <v>29.48</v>
      </c>
      <c r="J332" s="12" t="n">
        <v>26.55</v>
      </c>
      <c r="K332" s="12" t="n">
        <v>2.93</v>
      </c>
      <c r="L332" s="12" t="n">
        <v>7.1</v>
      </c>
      <c r="M332" s="11" t="n">
        <v>84</v>
      </c>
      <c r="N332" s="12" t="n">
        <v>14.7</v>
      </c>
      <c r="O332" s="11" t="n">
        <v>1</v>
      </c>
      <c r="P332" s="11" t="n">
        <v>1</v>
      </c>
      <c r="Q332" s="11" t="n">
        <v>0</v>
      </c>
      <c r="R332" s="25" t="n">
        <v>-0.2</v>
      </c>
      <c r="S332" s="25" t="n">
        <v>1.04</v>
      </c>
    </row>
    <row r="333">
      <c r="A333" s="24" t="n">
        <v>46270</v>
      </c>
      <c r="B333" s="10" t="inlineStr">
        <is>
          <t>2026-09</t>
        </is>
      </c>
      <c r="C333" s="11" t="n">
        <v>9</v>
      </c>
      <c r="D333" s="10" t="inlineStr">
        <is>
          <t>Mùa mưa</t>
        </is>
      </c>
      <c r="E333" s="12" t="n">
        <v>32.1</v>
      </c>
      <c r="F333" s="12" t="n">
        <v>25.3</v>
      </c>
      <c r="G333" s="12" t="n">
        <v>27.9</v>
      </c>
      <c r="H333" s="16" t="n">
        <v>28.04</v>
      </c>
      <c r="I333" s="12" t="n">
        <v>29.6</v>
      </c>
      <c r="J333" s="12" t="n">
        <v>26.31</v>
      </c>
      <c r="K333" s="12" t="n">
        <v>3.29</v>
      </c>
      <c r="L333" s="12" t="n">
        <v>6.8</v>
      </c>
      <c r="M333" s="11" t="n">
        <v>84</v>
      </c>
      <c r="N333" s="12" t="n">
        <v>5.3</v>
      </c>
      <c r="O333" s="11" t="n">
        <v>1</v>
      </c>
      <c r="P333" s="11" t="n">
        <v>1</v>
      </c>
      <c r="Q333" s="11" t="n">
        <v>0</v>
      </c>
      <c r="R333" s="25" t="n">
        <v>-0.9</v>
      </c>
      <c r="S333" s="25" t="n">
        <v>-0.13</v>
      </c>
    </row>
    <row r="334">
      <c r="A334" s="24" t="n">
        <v>46271</v>
      </c>
      <c r="B334" s="10" t="inlineStr">
        <is>
          <t>2026-09</t>
        </is>
      </c>
      <c r="C334" s="11" t="n">
        <v>9</v>
      </c>
      <c r="D334" s="10" t="inlineStr">
        <is>
          <t>Mùa mưa</t>
        </is>
      </c>
      <c r="E334" s="12" t="n">
        <v>32.2</v>
      </c>
      <c r="F334" s="12" t="n">
        <v>25.3</v>
      </c>
      <c r="G334" s="12" t="n">
        <v>27.7</v>
      </c>
      <c r="H334" s="16" t="n">
        <v>28.13</v>
      </c>
      <c r="I334" s="12" t="n">
        <v>29.17</v>
      </c>
      <c r="J334" s="12" t="n">
        <v>26.37</v>
      </c>
      <c r="K334" s="12" t="n">
        <v>2.8</v>
      </c>
      <c r="L334" s="12" t="n">
        <v>6.9</v>
      </c>
      <c r="M334" s="11" t="n">
        <v>85</v>
      </c>
      <c r="N334" s="12" t="n">
        <v>8.5</v>
      </c>
      <c r="O334" s="11" t="n">
        <v>1</v>
      </c>
      <c r="P334" s="11" t="n">
        <v>0</v>
      </c>
      <c r="Q334" s="11" t="n">
        <v>0</v>
      </c>
      <c r="R334" s="25" t="n">
        <v>0.1</v>
      </c>
      <c r="S334" s="25" t="n">
        <v>-0.06</v>
      </c>
    </row>
    <row r="335">
      <c r="A335" s="24" t="n">
        <v>46272</v>
      </c>
      <c r="B335" s="10" t="inlineStr">
        <is>
          <t>2026-09</t>
        </is>
      </c>
      <c r="C335" s="11" t="n">
        <v>9</v>
      </c>
      <c r="D335" s="10" t="inlineStr">
        <is>
          <t>Mùa mưa</t>
        </is>
      </c>
      <c r="E335" s="12" t="n">
        <v>33.3</v>
      </c>
      <c r="F335" s="12" t="n">
        <v>25.5</v>
      </c>
      <c r="G335" s="12" t="n">
        <v>28.7</v>
      </c>
      <c r="H335" s="16" t="n">
        <v>28.27</v>
      </c>
      <c r="I335" s="12" t="n">
        <v>30.73</v>
      </c>
      <c r="J335" s="12" t="n">
        <v>26.69</v>
      </c>
      <c r="K335" s="12" t="n">
        <v>4.04</v>
      </c>
      <c r="L335" s="12" t="n">
        <v>7.8</v>
      </c>
      <c r="M335" s="11" t="n">
        <v>81</v>
      </c>
      <c r="N335" s="12" t="n">
        <v>0.6</v>
      </c>
      <c r="O335" s="11" t="n">
        <v>0</v>
      </c>
      <c r="P335" s="11" t="n">
        <v>1</v>
      </c>
      <c r="Q335" s="11" t="n">
        <v>0</v>
      </c>
      <c r="R335" s="25" t="n">
        <v>1.1</v>
      </c>
      <c r="S335" s="25" t="n">
        <v>0.97</v>
      </c>
    </row>
    <row r="336">
      <c r="A336" s="24" t="n">
        <v>46273</v>
      </c>
      <c r="B336" s="10" t="inlineStr">
        <is>
          <t>2026-09</t>
        </is>
      </c>
      <c r="C336" s="11" t="n">
        <v>9</v>
      </c>
      <c r="D336" s="10" t="inlineStr">
        <is>
          <t>Mùa mưa</t>
        </is>
      </c>
      <c r="E336" s="12" t="n">
        <v>33.1</v>
      </c>
      <c r="F336" s="12" t="n">
        <v>25.5</v>
      </c>
      <c r="G336" s="12" t="n">
        <v>28.4</v>
      </c>
      <c r="H336" s="16" t="n">
        <v>28.3</v>
      </c>
      <c r="I336" s="12" t="n">
        <v>30.2</v>
      </c>
      <c r="J336" s="12" t="n">
        <v>26.53</v>
      </c>
      <c r="K336" s="12" t="n">
        <v>3.67</v>
      </c>
      <c r="L336" s="12" t="n">
        <v>7.6</v>
      </c>
      <c r="M336" s="11" t="n">
        <v>82</v>
      </c>
      <c r="N336" s="12" t="n">
        <v>8.1</v>
      </c>
      <c r="O336" s="11" t="n">
        <v>1</v>
      </c>
      <c r="P336" s="11" t="n">
        <v>1</v>
      </c>
      <c r="Q336" s="11" t="n">
        <v>0</v>
      </c>
      <c r="R336" s="25" t="n">
        <v>-0.2</v>
      </c>
      <c r="S336" s="25" t="n">
        <v>0.5</v>
      </c>
    </row>
    <row r="337">
      <c r="A337" s="24" t="n">
        <v>46274</v>
      </c>
      <c r="B337" s="10" t="inlineStr">
        <is>
          <t>2026-09</t>
        </is>
      </c>
      <c r="C337" s="11" t="n">
        <v>9</v>
      </c>
      <c r="D337" s="10" t="inlineStr">
        <is>
          <t>Mùa mưa</t>
        </is>
      </c>
      <c r="E337" s="12" t="n">
        <v>31.3</v>
      </c>
      <c r="F337" s="12" t="n">
        <v>25</v>
      </c>
      <c r="G337" s="12" t="n">
        <v>27.1</v>
      </c>
      <c r="H337" s="16" t="n">
        <v>28.06</v>
      </c>
      <c r="I337" s="12" t="n">
        <v>28.45</v>
      </c>
      <c r="J337" s="12" t="n">
        <v>25.87</v>
      </c>
      <c r="K337" s="12" t="n">
        <v>2.58</v>
      </c>
      <c r="L337" s="12" t="n">
        <v>6.3</v>
      </c>
      <c r="M337" s="11" t="n">
        <v>87</v>
      </c>
      <c r="N337" s="12" t="n">
        <v>20.9</v>
      </c>
      <c r="O337" s="11" t="n">
        <v>1</v>
      </c>
      <c r="P337" s="11" t="n">
        <v>1</v>
      </c>
      <c r="Q337" s="11" t="n">
        <v>0</v>
      </c>
      <c r="R337" s="25" t="n">
        <v>-1.8</v>
      </c>
      <c r="S337" s="25" t="n">
        <v>-1.5</v>
      </c>
    </row>
    <row r="338">
      <c r="A338" s="24" t="n">
        <v>46275</v>
      </c>
      <c r="B338" s="10" t="inlineStr">
        <is>
          <t>2026-09</t>
        </is>
      </c>
      <c r="C338" s="11" t="n">
        <v>9</v>
      </c>
      <c r="D338" s="10" t="inlineStr">
        <is>
          <t>Mùa mưa</t>
        </is>
      </c>
      <c r="E338" s="12" t="n">
        <v>30.9</v>
      </c>
      <c r="F338" s="12" t="n">
        <v>23.9</v>
      </c>
      <c r="G338" s="12" t="n">
        <v>26.2</v>
      </c>
      <c r="H338" s="16" t="n">
        <v>27.71</v>
      </c>
      <c r="I338" s="12" t="n">
        <v>27.74</v>
      </c>
      <c r="J338" s="12" t="n">
        <v>24.78</v>
      </c>
      <c r="K338" s="12" t="n">
        <v>2.96</v>
      </c>
      <c r="L338" s="12" t="n">
        <v>7</v>
      </c>
      <c r="M338" s="11" t="n">
        <v>89</v>
      </c>
      <c r="N338" s="12" t="n">
        <v>22.7</v>
      </c>
      <c r="O338" s="11" t="n">
        <v>1</v>
      </c>
      <c r="P338" s="11" t="n">
        <v>1</v>
      </c>
      <c r="Q338" s="11" t="n">
        <v>0</v>
      </c>
      <c r="R338" s="25" t="n">
        <v>-0.4</v>
      </c>
      <c r="S338" s="25" t="n">
        <v>-1.7</v>
      </c>
    </row>
    <row r="339">
      <c r="A339" s="24" t="n">
        <v>46276</v>
      </c>
      <c r="B339" s="10" t="inlineStr">
        <is>
          <t>2026-09</t>
        </is>
      </c>
      <c r="C339" s="11" t="n">
        <v>9</v>
      </c>
      <c r="D339" s="10" t="inlineStr">
        <is>
          <t>Mùa mưa</t>
        </is>
      </c>
      <c r="E339" s="12" t="n">
        <v>27.8</v>
      </c>
      <c r="F339" s="12" t="n">
        <v>24</v>
      </c>
      <c r="G339" s="12" t="n">
        <v>25.7</v>
      </c>
      <c r="H339" s="16" t="n">
        <v>27.39</v>
      </c>
      <c r="I339" s="12" t="n">
        <v>26.59</v>
      </c>
      <c r="J339" s="12" t="n">
        <v>24.83</v>
      </c>
      <c r="K339" s="12" t="n">
        <v>1.76</v>
      </c>
      <c r="L339" s="12" t="n">
        <v>3.8</v>
      </c>
      <c r="M339" s="11" t="n">
        <v>90</v>
      </c>
      <c r="N339" s="12" t="n">
        <v>12.1</v>
      </c>
      <c r="O339" s="11" t="n">
        <v>1</v>
      </c>
      <c r="P339" s="11" t="n">
        <v>1</v>
      </c>
      <c r="Q339" s="11" t="n">
        <v>0</v>
      </c>
      <c r="R339" s="25" t="n">
        <v>-3.1</v>
      </c>
      <c r="S339" s="25" t="n">
        <v>-4.47</v>
      </c>
    </row>
    <row r="340">
      <c r="A340" s="24" t="n">
        <v>46277</v>
      </c>
      <c r="B340" s="10" t="inlineStr">
        <is>
          <t>2026-09</t>
        </is>
      </c>
      <c r="C340" s="11" t="n">
        <v>9</v>
      </c>
      <c r="D340" s="10" t="inlineStr">
        <is>
          <t>Mùa mưa</t>
        </is>
      </c>
      <c r="E340" s="12" t="n">
        <v>31.4</v>
      </c>
      <c r="F340" s="12" t="n">
        <v>24.2</v>
      </c>
      <c r="G340" s="12" t="n">
        <v>26.5</v>
      </c>
      <c r="H340" s="16" t="n">
        <v>27.19</v>
      </c>
      <c r="I340" s="12" t="n">
        <v>28.03</v>
      </c>
      <c r="J340" s="12" t="n">
        <v>25.06</v>
      </c>
      <c r="K340" s="12" t="n">
        <v>2.97</v>
      </c>
      <c r="L340" s="12" t="n">
        <v>7.2</v>
      </c>
      <c r="M340" s="11" t="n">
        <v>87</v>
      </c>
      <c r="N340" s="12" t="n">
        <v>6.4</v>
      </c>
      <c r="O340" s="11" t="n">
        <v>1</v>
      </c>
      <c r="P340" s="11" t="n">
        <v>1</v>
      </c>
      <c r="Q340" s="11" t="n">
        <v>1</v>
      </c>
      <c r="R340" s="25" t="n">
        <v>3.6</v>
      </c>
      <c r="S340" s="25" t="n">
        <v>-0.13</v>
      </c>
    </row>
    <row r="341">
      <c r="A341" s="24" t="n">
        <v>46278</v>
      </c>
      <c r="B341" s="10" t="inlineStr">
        <is>
          <t>2026-09</t>
        </is>
      </c>
      <c r="C341" s="11" t="n">
        <v>9</v>
      </c>
      <c r="D341" s="10" t="inlineStr">
        <is>
          <t>Mùa mưa</t>
        </is>
      </c>
      <c r="E341" s="12" t="n">
        <v>31.8</v>
      </c>
      <c r="F341" s="12" t="n">
        <v>24.7</v>
      </c>
      <c r="G341" s="12" t="n">
        <v>27</v>
      </c>
      <c r="H341" s="16" t="n">
        <v>27.09</v>
      </c>
      <c r="I341" s="12" t="n">
        <v>28.51</v>
      </c>
      <c r="J341" s="12" t="n">
        <v>25.49</v>
      </c>
      <c r="K341" s="12" t="n">
        <v>3.02</v>
      </c>
      <c r="L341" s="12" t="n">
        <v>7.1</v>
      </c>
      <c r="M341" s="11" t="n">
        <v>87</v>
      </c>
      <c r="N341" s="12" t="n">
        <v>10.1</v>
      </c>
      <c r="O341" s="11" t="n">
        <v>1</v>
      </c>
      <c r="P341" s="11" t="n">
        <v>1</v>
      </c>
      <c r="Q341" s="11" t="n">
        <v>0</v>
      </c>
      <c r="R341" s="25" t="n">
        <v>0.4</v>
      </c>
      <c r="S341" s="25" t="n">
        <v>0.37</v>
      </c>
    </row>
    <row r="342">
      <c r="A342" s="24" t="n">
        <v>46279</v>
      </c>
      <c r="B342" s="10" t="inlineStr">
        <is>
          <t>2026-09</t>
        </is>
      </c>
      <c r="C342" s="11" t="n">
        <v>9</v>
      </c>
      <c r="D342" s="10" t="inlineStr">
        <is>
          <t>Mùa mưa</t>
        </is>
      </c>
      <c r="E342" s="12" t="n">
        <v>30.9</v>
      </c>
      <c r="F342" s="12" t="n">
        <v>25.5</v>
      </c>
      <c r="G342" s="12" t="n">
        <v>27.6</v>
      </c>
      <c r="H342" s="16" t="n">
        <v>26.93</v>
      </c>
      <c r="I342" s="12" t="n">
        <v>28.9</v>
      </c>
      <c r="J342" s="12" t="n">
        <v>26.27</v>
      </c>
      <c r="K342" s="12" t="n">
        <v>2.63</v>
      </c>
      <c r="L342" s="12" t="n">
        <v>5.4</v>
      </c>
      <c r="M342" s="11" t="n">
        <v>84</v>
      </c>
      <c r="N342" s="12" t="n">
        <v>1.1</v>
      </c>
      <c r="O342" s="11" t="n">
        <v>1</v>
      </c>
      <c r="P342" s="11" t="n">
        <v>1</v>
      </c>
      <c r="Q342" s="11" t="n">
        <v>0</v>
      </c>
      <c r="R342" s="25" t="n">
        <v>-0.9</v>
      </c>
      <c r="S342" s="25" t="n">
        <v>-0.47</v>
      </c>
    </row>
    <row r="343">
      <c r="A343" s="24" t="n">
        <v>46280</v>
      </c>
      <c r="B343" s="10" t="inlineStr">
        <is>
          <t>2026-09</t>
        </is>
      </c>
      <c r="C343" s="11" t="n">
        <v>9</v>
      </c>
      <c r="D343" s="10" t="inlineStr">
        <is>
          <t>Mùa mưa</t>
        </is>
      </c>
      <c r="E343" s="12" t="n">
        <v>31.9</v>
      </c>
      <c r="F343" s="12" t="n">
        <v>24.9</v>
      </c>
      <c r="G343" s="12" t="n">
        <v>27.6</v>
      </c>
      <c r="H343" s="16" t="n">
        <v>26.81</v>
      </c>
      <c r="I343" s="12" t="n">
        <v>29.29</v>
      </c>
      <c r="J343" s="12" t="n">
        <v>25.89</v>
      </c>
      <c r="K343" s="12" t="n">
        <v>3.4</v>
      </c>
      <c r="L343" s="12" t="n">
        <v>7</v>
      </c>
      <c r="M343" s="11" t="n">
        <v>85</v>
      </c>
      <c r="N343" s="12" t="n">
        <v>1.4</v>
      </c>
      <c r="O343" s="11" t="n">
        <v>1</v>
      </c>
      <c r="P343" s="11" t="n">
        <v>1</v>
      </c>
      <c r="Q343" s="11" t="n">
        <v>0</v>
      </c>
      <c r="R343" s="25" t="n">
        <v>1</v>
      </c>
      <c r="S343" s="25" t="n">
        <v>0.87</v>
      </c>
    </row>
    <row r="344">
      <c r="A344" s="24" t="n">
        <v>46281</v>
      </c>
      <c r="B344" s="10" t="inlineStr">
        <is>
          <t>2026-09</t>
        </is>
      </c>
      <c r="C344" s="11" t="n">
        <v>9</v>
      </c>
      <c r="D344" s="10" t="inlineStr">
        <is>
          <t>Mùa mưa</t>
        </is>
      </c>
      <c r="E344" s="12" t="n">
        <v>32.8</v>
      </c>
      <c r="F344" s="12" t="n">
        <v>25.3</v>
      </c>
      <c r="G344" s="12" t="n">
        <v>28.5</v>
      </c>
      <c r="H344" s="16" t="n">
        <v>27.01</v>
      </c>
      <c r="I344" s="12" t="n">
        <v>30.45</v>
      </c>
      <c r="J344" s="12" t="n">
        <v>26.57</v>
      </c>
      <c r="K344" s="12" t="n">
        <v>3.88</v>
      </c>
      <c r="L344" s="12" t="n">
        <v>7.5</v>
      </c>
      <c r="M344" s="11" t="n">
        <v>81</v>
      </c>
      <c r="N344" s="12" t="n">
        <v>1</v>
      </c>
      <c r="O344" s="11" t="n">
        <v>1</v>
      </c>
      <c r="P344" s="11" t="n">
        <v>1</v>
      </c>
      <c r="Q344" s="11" t="n">
        <v>0</v>
      </c>
      <c r="R344" s="25" t="n">
        <v>0.9</v>
      </c>
      <c r="S344" s="25" t="n">
        <v>1.94</v>
      </c>
    </row>
    <row r="345">
      <c r="A345" s="24" t="n">
        <v>46282</v>
      </c>
      <c r="B345" s="10" t="inlineStr">
        <is>
          <t>2026-09</t>
        </is>
      </c>
      <c r="C345" s="11" t="n">
        <v>9</v>
      </c>
      <c r="D345" s="10" t="inlineStr">
        <is>
          <t>Mùa mưa</t>
        </is>
      </c>
      <c r="E345" s="12" t="n">
        <v>33.4</v>
      </c>
      <c r="F345" s="12" t="n">
        <v>25.5</v>
      </c>
      <c r="G345" s="12" t="n">
        <v>28</v>
      </c>
      <c r="H345" s="16" t="n">
        <v>27.27</v>
      </c>
      <c r="I345" s="12" t="n">
        <v>30.07</v>
      </c>
      <c r="J345" s="12" t="n">
        <v>25.94</v>
      </c>
      <c r="K345" s="12" t="n">
        <v>4.13</v>
      </c>
      <c r="L345" s="12" t="n">
        <v>7.9</v>
      </c>
      <c r="M345" s="11" t="n">
        <v>85</v>
      </c>
      <c r="N345" s="12" t="n">
        <v>13.3</v>
      </c>
      <c r="O345" s="11" t="n">
        <v>1</v>
      </c>
      <c r="P345" s="11" t="n">
        <v>1</v>
      </c>
      <c r="Q345" s="11" t="n">
        <v>1</v>
      </c>
      <c r="R345" s="25" t="n">
        <v>0.6</v>
      </c>
      <c r="S345" s="25" t="n">
        <v>2.33</v>
      </c>
    </row>
    <row r="346">
      <c r="A346" s="24" t="n">
        <v>46283</v>
      </c>
      <c r="B346" s="10" t="inlineStr">
        <is>
          <t>2026-09</t>
        </is>
      </c>
      <c r="C346" s="11" t="n">
        <v>9</v>
      </c>
      <c r="D346" s="10" t="inlineStr">
        <is>
          <t>Mùa mưa</t>
        </is>
      </c>
      <c r="E346" s="12" t="n">
        <v>32</v>
      </c>
      <c r="F346" s="12" t="n">
        <v>24.8</v>
      </c>
      <c r="G346" s="12" t="n">
        <v>27.4</v>
      </c>
      <c r="H346" s="16" t="n">
        <v>27.51</v>
      </c>
      <c r="I346" s="12" t="n">
        <v>29.21</v>
      </c>
      <c r="J346" s="12" t="n">
        <v>25.6</v>
      </c>
      <c r="K346" s="12" t="n">
        <v>3.61</v>
      </c>
      <c r="L346" s="12" t="n">
        <v>7.2</v>
      </c>
      <c r="M346" s="11" t="n">
        <v>86</v>
      </c>
      <c r="N346" s="12" t="n">
        <v>19.7</v>
      </c>
      <c r="O346" s="11" t="n">
        <v>1</v>
      </c>
      <c r="P346" s="11" t="n">
        <v>1</v>
      </c>
      <c r="Q346" s="11" t="n">
        <v>0</v>
      </c>
      <c r="R346" s="25" t="n">
        <v>-1.4</v>
      </c>
      <c r="S346" s="25" t="n">
        <v>0.57</v>
      </c>
    </row>
    <row r="347">
      <c r="A347" s="24" t="n">
        <v>46284</v>
      </c>
      <c r="B347" s="10" t="inlineStr">
        <is>
          <t>2026-09</t>
        </is>
      </c>
      <c r="C347" s="11" t="n">
        <v>9</v>
      </c>
      <c r="D347" s="10" t="inlineStr">
        <is>
          <t>Mùa mưa</t>
        </is>
      </c>
      <c r="E347" s="12" t="n">
        <v>32.1</v>
      </c>
      <c r="F347" s="12" t="n">
        <v>24.9</v>
      </c>
      <c r="G347" s="12" t="n">
        <v>27.2</v>
      </c>
      <c r="H347" s="16" t="n">
        <v>27.61</v>
      </c>
      <c r="I347" s="12" t="n">
        <v>28.69</v>
      </c>
      <c r="J347" s="12" t="n">
        <v>25.73</v>
      </c>
      <c r="K347" s="12" t="n">
        <v>2.96</v>
      </c>
      <c r="L347" s="12" t="n">
        <v>7.2</v>
      </c>
      <c r="M347" s="11" t="n">
        <v>89</v>
      </c>
      <c r="N347" s="12" t="n">
        <v>12.7</v>
      </c>
      <c r="O347" s="11" t="n">
        <v>1</v>
      </c>
      <c r="P347" s="11" t="n">
        <v>1</v>
      </c>
      <c r="Q347" s="11" t="n">
        <v>0</v>
      </c>
      <c r="R347" s="25" t="n">
        <v>0.1</v>
      </c>
      <c r="S347" s="25" t="n">
        <v>0.07000000000000001</v>
      </c>
    </row>
    <row r="348">
      <c r="A348" s="24" t="n">
        <v>46285</v>
      </c>
      <c r="B348" s="10" t="inlineStr">
        <is>
          <t>2026-09</t>
        </is>
      </c>
      <c r="C348" s="11" t="n">
        <v>9</v>
      </c>
      <c r="D348" s="10" t="inlineStr">
        <is>
          <t>Mùa mưa</t>
        </is>
      </c>
      <c r="E348" s="12" t="n">
        <v>30.3</v>
      </c>
      <c r="F348" s="12" t="n">
        <v>24.8</v>
      </c>
      <c r="G348" s="12" t="n">
        <v>26.8</v>
      </c>
      <c r="H348" s="16" t="n">
        <v>27.59</v>
      </c>
      <c r="I348" s="12" t="n">
        <v>27.95</v>
      </c>
      <c r="J348" s="12" t="n">
        <v>25.72</v>
      </c>
      <c r="K348" s="12" t="n">
        <v>2.23</v>
      </c>
      <c r="L348" s="12" t="n">
        <v>5.5</v>
      </c>
      <c r="M348" s="11" t="n">
        <v>89</v>
      </c>
      <c r="N348" s="12" t="n">
        <v>7.5</v>
      </c>
      <c r="O348" s="11" t="n">
        <v>1</v>
      </c>
      <c r="P348" s="11" t="n">
        <v>1</v>
      </c>
      <c r="Q348" s="11" t="n">
        <v>0</v>
      </c>
      <c r="R348" s="25" t="n">
        <v>-1.8</v>
      </c>
      <c r="S348" s="25" t="n">
        <v>-1.83</v>
      </c>
    </row>
    <row r="349">
      <c r="A349" s="24" t="n">
        <v>46286</v>
      </c>
      <c r="B349" s="10" t="inlineStr">
        <is>
          <t>2026-09</t>
        </is>
      </c>
      <c r="C349" s="11" t="n">
        <v>9</v>
      </c>
      <c r="D349" s="10" t="inlineStr">
        <is>
          <t>Mùa mưa</t>
        </is>
      </c>
      <c r="E349" s="12" t="n">
        <v>30.9</v>
      </c>
      <c r="F349" s="12" t="n">
        <v>24.4</v>
      </c>
      <c r="G349" s="12" t="n">
        <v>27</v>
      </c>
      <c r="H349" s="16" t="n">
        <v>27.5</v>
      </c>
      <c r="I349" s="12" t="n">
        <v>28.31</v>
      </c>
      <c r="J349" s="12" t="n">
        <v>25.67</v>
      </c>
      <c r="K349" s="12" t="n">
        <v>2.64</v>
      </c>
      <c r="L349" s="12" t="n">
        <v>6.5</v>
      </c>
      <c r="M349" s="11" t="n">
        <v>88</v>
      </c>
      <c r="N349" s="12" t="n">
        <v>24.6</v>
      </c>
      <c r="O349" s="11" t="n">
        <v>1</v>
      </c>
      <c r="P349" s="11" t="n">
        <v>1</v>
      </c>
      <c r="Q349" s="11" t="n">
        <v>0</v>
      </c>
      <c r="R349" s="25" t="n">
        <v>0.6</v>
      </c>
      <c r="S349" s="25" t="n">
        <v>-1.01</v>
      </c>
    </row>
    <row r="350">
      <c r="A350" s="24" t="n">
        <v>46287</v>
      </c>
      <c r="B350" s="10" t="inlineStr">
        <is>
          <t>2026-09</t>
        </is>
      </c>
      <c r="C350" s="11" t="n">
        <v>9</v>
      </c>
      <c r="D350" s="10" t="inlineStr">
        <is>
          <t>Mùa mưa</t>
        </is>
      </c>
      <c r="E350" s="12" t="n">
        <v>30.8</v>
      </c>
      <c r="F350" s="12" t="n">
        <v>24.6</v>
      </c>
      <c r="G350" s="12" t="n">
        <v>26.4</v>
      </c>
      <c r="H350" s="16" t="n">
        <v>27.33</v>
      </c>
      <c r="I350" s="12" t="n">
        <v>27.68</v>
      </c>
      <c r="J350" s="12" t="n">
        <v>25.16</v>
      </c>
      <c r="K350" s="12" t="n">
        <v>2.52</v>
      </c>
      <c r="L350" s="12" t="n">
        <v>6.2</v>
      </c>
      <c r="M350" s="11" t="n">
        <v>90</v>
      </c>
      <c r="N350" s="12" t="n">
        <v>40.1</v>
      </c>
      <c r="O350" s="11" t="n">
        <v>1</v>
      </c>
      <c r="P350" s="11" t="n">
        <v>1</v>
      </c>
      <c r="Q350" s="11" t="n">
        <v>0</v>
      </c>
      <c r="R350" s="25" t="n">
        <v>-0.1</v>
      </c>
      <c r="S350" s="25" t="n">
        <v>-1.11</v>
      </c>
    </row>
    <row r="351">
      <c r="A351" s="24" t="n">
        <v>46288</v>
      </c>
      <c r="B351" s="10" t="inlineStr">
        <is>
          <t>2026-09</t>
        </is>
      </c>
      <c r="C351" s="11" t="n">
        <v>9</v>
      </c>
      <c r="D351" s="10" t="inlineStr">
        <is>
          <t>Mùa mưa</t>
        </is>
      </c>
      <c r="E351" s="12" t="n">
        <v>29.2</v>
      </c>
      <c r="F351" s="12" t="n">
        <v>24.7</v>
      </c>
      <c r="G351" s="12" t="n">
        <v>25.8</v>
      </c>
      <c r="H351" s="16" t="n">
        <v>26.94</v>
      </c>
      <c r="I351" s="12" t="n">
        <v>26.58</v>
      </c>
      <c r="J351" s="12" t="n">
        <v>25.04</v>
      </c>
      <c r="K351" s="12" t="n">
        <v>1.54</v>
      </c>
      <c r="L351" s="12" t="n">
        <v>4.5</v>
      </c>
      <c r="M351" s="11" t="n">
        <v>92</v>
      </c>
      <c r="N351" s="12" t="n">
        <v>25.2</v>
      </c>
      <c r="O351" s="11" t="n">
        <v>1</v>
      </c>
      <c r="P351" s="11" t="n">
        <v>1</v>
      </c>
      <c r="Q351" s="11" t="n">
        <v>0</v>
      </c>
      <c r="R351" s="25" t="n">
        <v>-1.6</v>
      </c>
      <c r="S351" s="25" t="n">
        <v>-2.56</v>
      </c>
    </row>
    <row r="352">
      <c r="A352" s="24" t="n">
        <v>46289</v>
      </c>
      <c r="B352" s="10" t="inlineStr">
        <is>
          <t>2026-09</t>
        </is>
      </c>
      <c r="C352" s="11" t="n">
        <v>9</v>
      </c>
      <c r="D352" s="10" t="inlineStr">
        <is>
          <t>Mùa mưa</t>
        </is>
      </c>
      <c r="E352" s="12" t="n">
        <v>30.4</v>
      </c>
      <c r="F352" s="12" t="n">
        <v>24.4</v>
      </c>
      <c r="G352" s="12" t="n">
        <v>26.1</v>
      </c>
      <c r="H352" s="16" t="n">
        <v>26.67</v>
      </c>
      <c r="I352" s="12" t="n">
        <v>27.15</v>
      </c>
      <c r="J352" s="12" t="n">
        <v>25.13</v>
      </c>
      <c r="K352" s="12" t="n">
        <v>2.02</v>
      </c>
      <c r="L352" s="12" t="n">
        <v>6</v>
      </c>
      <c r="M352" s="11" t="n">
        <v>89</v>
      </c>
      <c r="N352" s="12" t="n">
        <v>18.3</v>
      </c>
      <c r="O352" s="11" t="n">
        <v>1</v>
      </c>
      <c r="P352" s="11" t="n">
        <v>1</v>
      </c>
      <c r="Q352" s="11" t="n">
        <v>0</v>
      </c>
      <c r="R352" s="25" t="n">
        <v>1.2</v>
      </c>
      <c r="S352" s="25" t="n">
        <v>-0.84</v>
      </c>
    </row>
    <row r="353">
      <c r="A353" s="24" t="n">
        <v>46290</v>
      </c>
      <c r="B353" s="10" t="inlineStr">
        <is>
          <t>2026-09</t>
        </is>
      </c>
      <c r="C353" s="11" t="n">
        <v>9</v>
      </c>
      <c r="D353" s="10" t="inlineStr">
        <is>
          <t>Mùa mưa</t>
        </is>
      </c>
      <c r="E353" s="12" t="n">
        <v>30.5</v>
      </c>
      <c r="F353" s="12" t="n">
        <v>24.5</v>
      </c>
      <c r="G353" s="12" t="n">
        <v>26.6</v>
      </c>
      <c r="H353" s="16" t="n">
        <v>26.56</v>
      </c>
      <c r="I353" s="12" t="n">
        <v>27.84</v>
      </c>
      <c r="J353" s="12" t="n">
        <v>25.5</v>
      </c>
      <c r="K353" s="12" t="n">
        <v>2.34</v>
      </c>
      <c r="L353" s="12" t="n">
        <v>6</v>
      </c>
      <c r="M353" s="11" t="n">
        <v>88</v>
      </c>
      <c r="N353" s="12" t="n">
        <v>14.1</v>
      </c>
      <c r="O353" s="11" t="n">
        <v>1</v>
      </c>
      <c r="P353" s="11" t="n">
        <v>1</v>
      </c>
      <c r="Q353" s="11" t="n">
        <v>0</v>
      </c>
      <c r="R353" s="25" t="n">
        <v>0.1</v>
      </c>
      <c r="S353" s="25" t="n">
        <v>-0.31</v>
      </c>
    </row>
    <row r="354">
      <c r="A354" s="24" t="n">
        <v>46291</v>
      </c>
      <c r="B354" s="10" t="inlineStr">
        <is>
          <t>2026-09</t>
        </is>
      </c>
      <c r="C354" s="11" t="n">
        <v>9</v>
      </c>
      <c r="D354" s="10" t="inlineStr">
        <is>
          <t>Mùa mưa</t>
        </is>
      </c>
      <c r="E354" s="12" t="n">
        <v>31.4</v>
      </c>
      <c r="F354" s="12" t="n">
        <v>25</v>
      </c>
      <c r="G354" s="12" t="n">
        <v>26.8</v>
      </c>
      <c r="H354" s="16" t="n">
        <v>26.5</v>
      </c>
      <c r="I354" s="12" t="n">
        <v>28.04</v>
      </c>
      <c r="J354" s="12" t="n">
        <v>25.67</v>
      </c>
      <c r="K354" s="12" t="n">
        <v>2.38</v>
      </c>
      <c r="L354" s="12" t="n">
        <v>6.4</v>
      </c>
      <c r="M354" s="11" t="n">
        <v>89</v>
      </c>
      <c r="N354" s="12" t="n">
        <v>9.699999999999999</v>
      </c>
      <c r="O354" s="11" t="n">
        <v>1</v>
      </c>
      <c r="P354" s="11" t="n">
        <v>1</v>
      </c>
      <c r="Q354" s="11" t="n">
        <v>0</v>
      </c>
      <c r="R354" s="25" t="n">
        <v>0.9</v>
      </c>
      <c r="S354" s="25" t="n">
        <v>0.8</v>
      </c>
    </row>
    <row r="355">
      <c r="A355" s="24" t="n">
        <v>46292</v>
      </c>
      <c r="B355" s="10" t="inlineStr">
        <is>
          <t>2026-09</t>
        </is>
      </c>
      <c r="C355" s="11" t="n">
        <v>9</v>
      </c>
      <c r="D355" s="10" t="inlineStr">
        <is>
          <t>Mùa mưa</t>
        </is>
      </c>
      <c r="E355" s="12" t="n">
        <v>32.1</v>
      </c>
      <c r="F355" s="12" t="n">
        <v>25.2</v>
      </c>
      <c r="G355" s="12" t="n">
        <v>27.3</v>
      </c>
      <c r="H355" s="16" t="n">
        <v>26.57</v>
      </c>
      <c r="I355" s="12" t="n">
        <v>28.94</v>
      </c>
      <c r="J355" s="12" t="n">
        <v>25.71</v>
      </c>
      <c r="K355" s="12" t="n">
        <v>3.23</v>
      </c>
      <c r="L355" s="12" t="n">
        <v>6.9</v>
      </c>
      <c r="M355" s="11" t="n">
        <v>86</v>
      </c>
      <c r="N355" s="12" t="n">
        <v>11.6</v>
      </c>
      <c r="O355" s="11" t="n">
        <v>1</v>
      </c>
      <c r="P355" s="11" t="n">
        <v>1</v>
      </c>
      <c r="Q355" s="11" t="n">
        <v>0</v>
      </c>
      <c r="R355" s="25" t="n">
        <v>0.7</v>
      </c>
      <c r="S355" s="25" t="n">
        <v>1.6</v>
      </c>
    </row>
    <row r="356">
      <c r="A356" s="24" t="n">
        <v>46293</v>
      </c>
      <c r="B356" s="10" t="inlineStr">
        <is>
          <t>2026-09</t>
        </is>
      </c>
      <c r="C356" s="11" t="n">
        <v>9</v>
      </c>
      <c r="D356" s="10" t="inlineStr">
        <is>
          <t>Mùa mưa</t>
        </is>
      </c>
      <c r="E356" s="12" t="n">
        <v>33.1</v>
      </c>
      <c r="F356" s="12" t="n">
        <v>25.3</v>
      </c>
      <c r="G356" s="12" t="n">
        <v>28</v>
      </c>
      <c r="H356" s="16" t="n">
        <v>26.71</v>
      </c>
      <c r="I356" s="12" t="n">
        <v>30.05</v>
      </c>
      <c r="J356" s="12" t="n">
        <v>26.04</v>
      </c>
      <c r="K356" s="12" t="n">
        <v>4.01</v>
      </c>
      <c r="L356" s="12" t="n">
        <v>7.8</v>
      </c>
      <c r="M356" s="11" t="n">
        <v>84</v>
      </c>
      <c r="N356" s="12" t="n">
        <v>2.1</v>
      </c>
      <c r="O356" s="11" t="n">
        <v>1</v>
      </c>
      <c r="P356" s="11" t="n">
        <v>0</v>
      </c>
      <c r="Q356" s="11" t="n">
        <v>1</v>
      </c>
      <c r="R356" s="25" t="n">
        <v>1</v>
      </c>
      <c r="S356" s="25" t="n">
        <v>2.34</v>
      </c>
    </row>
    <row r="357">
      <c r="A357" s="24" t="n">
        <v>46294</v>
      </c>
      <c r="B357" s="10" t="inlineStr">
        <is>
          <t>2026-09</t>
        </is>
      </c>
      <c r="C357" s="11" t="n">
        <v>9</v>
      </c>
      <c r="D357" s="10" t="inlineStr">
        <is>
          <t>Mùa mưa</t>
        </is>
      </c>
      <c r="E357" s="12" t="n">
        <v>32.9</v>
      </c>
      <c r="F357" s="12" t="n">
        <v>25</v>
      </c>
      <c r="G357" s="12" t="n">
        <v>28.3</v>
      </c>
      <c r="H357" s="16" t="n">
        <v>26.99</v>
      </c>
      <c r="I357" s="12" t="n">
        <v>30.49</v>
      </c>
      <c r="J357" s="12" t="n">
        <v>26.07</v>
      </c>
      <c r="K357" s="12" t="n">
        <v>4.42</v>
      </c>
      <c r="L357" s="12" t="n">
        <v>7.9</v>
      </c>
      <c r="M357" s="11" t="n">
        <v>83</v>
      </c>
      <c r="N357" s="12" t="n">
        <v>0.9</v>
      </c>
      <c r="O357" s="11" t="n">
        <v>0</v>
      </c>
      <c r="P357" s="11" t="n">
        <v>1</v>
      </c>
      <c r="Q357" s="11" t="n">
        <v>0</v>
      </c>
      <c r="R357" s="25" t="n">
        <v>-0.2</v>
      </c>
      <c r="S357" s="25" t="n">
        <v>1.83</v>
      </c>
    </row>
    <row r="358">
      <c r="A358" s="24" t="n">
        <v>46295</v>
      </c>
      <c r="B358" s="10" t="inlineStr">
        <is>
          <t>2026-09</t>
        </is>
      </c>
      <c r="C358" s="11" t="n">
        <v>9</v>
      </c>
      <c r="D358" s="10" t="inlineStr">
        <is>
          <t>Mùa mưa</t>
        </is>
      </c>
      <c r="E358" s="12" t="n">
        <v>32.7</v>
      </c>
      <c r="F358" s="12" t="n">
        <v>24.8</v>
      </c>
      <c r="G358" s="12" t="n">
        <v>27.4</v>
      </c>
      <c r="H358" s="16" t="n">
        <v>27.21</v>
      </c>
      <c r="I358" s="12" t="n">
        <v>29.37</v>
      </c>
      <c r="J358" s="12" t="n">
        <v>25.41</v>
      </c>
      <c r="K358" s="12" t="n">
        <v>3.96</v>
      </c>
      <c r="L358" s="12" t="n">
        <v>7.9</v>
      </c>
      <c r="M358" s="11" t="n">
        <v>87</v>
      </c>
      <c r="N358" s="12" t="n">
        <v>9.5</v>
      </c>
      <c r="O358" s="11" t="n">
        <v>1</v>
      </c>
      <c r="P358" s="11" t="n">
        <v>1</v>
      </c>
      <c r="Q358" s="11" t="n">
        <v>0</v>
      </c>
      <c r="R358" s="25" t="n">
        <v>-0.2</v>
      </c>
      <c r="S358" s="25" t="n">
        <v>1.33</v>
      </c>
    </row>
    <row r="359">
      <c r="A359" s="24" t="n">
        <v>46296</v>
      </c>
      <c r="B359" s="10" t="inlineStr">
        <is>
          <t>2026-10</t>
        </is>
      </c>
      <c r="C359" s="11" t="n">
        <v>10</v>
      </c>
      <c r="D359" s="10" t="inlineStr">
        <is>
          <t>Mùa mưa</t>
        </is>
      </c>
      <c r="E359" s="12" t="n">
        <v>33</v>
      </c>
      <c r="F359" s="12" t="n">
        <v>24.3</v>
      </c>
      <c r="G359" s="12" t="n">
        <v>27.5</v>
      </c>
      <c r="H359" s="16" t="n">
        <v>27.41</v>
      </c>
      <c r="I359" s="12" t="n">
        <v>29.73</v>
      </c>
      <c r="J359" s="12" t="n">
        <v>25.38</v>
      </c>
      <c r="K359" s="12" t="n">
        <v>4.35</v>
      </c>
      <c r="L359" s="12" t="n">
        <v>8.699999999999999</v>
      </c>
      <c r="M359" s="11" t="n">
        <v>87</v>
      </c>
      <c r="N359" s="12" t="n">
        <v>14.2</v>
      </c>
      <c r="O359" s="11" t="n">
        <v>1</v>
      </c>
      <c r="P359" s="11" t="n">
        <v>1</v>
      </c>
      <c r="Q359" s="11" t="n">
        <v>0</v>
      </c>
      <c r="R359" s="25" t="n">
        <v>0.3</v>
      </c>
      <c r="S359" s="25" t="n">
        <v>1.13</v>
      </c>
    </row>
    <row r="360">
      <c r="A360" s="24" t="n">
        <v>46297</v>
      </c>
      <c r="B360" s="10" t="inlineStr">
        <is>
          <t>2026-10</t>
        </is>
      </c>
      <c r="C360" s="11" t="n">
        <v>10</v>
      </c>
      <c r="D360" s="10" t="inlineStr">
        <is>
          <t>Mùa mưa</t>
        </is>
      </c>
      <c r="E360" s="12" t="n">
        <v>32.1</v>
      </c>
      <c r="F360" s="12" t="n">
        <v>25</v>
      </c>
      <c r="G360" s="12" t="n">
        <v>27.5</v>
      </c>
      <c r="H360" s="16" t="n">
        <v>27.54</v>
      </c>
      <c r="I360" s="12" t="n">
        <v>29.14</v>
      </c>
      <c r="J360" s="12" t="n">
        <v>25.99</v>
      </c>
      <c r="K360" s="12" t="n">
        <v>3.15</v>
      </c>
      <c r="L360" s="12" t="n">
        <v>7.1</v>
      </c>
      <c r="M360" s="11" t="n">
        <v>86</v>
      </c>
      <c r="N360" s="12" t="n">
        <v>4.3</v>
      </c>
      <c r="O360" s="11" t="n">
        <v>1</v>
      </c>
      <c r="P360" s="11" t="n">
        <v>1</v>
      </c>
      <c r="Q360" s="11" t="n">
        <v>0</v>
      </c>
      <c r="R360" s="25" t="n">
        <v>-0.9</v>
      </c>
      <c r="S360" s="25" t="n">
        <v>-0.14</v>
      </c>
    </row>
    <row r="361">
      <c r="A361" s="24" t="n">
        <v>46298</v>
      </c>
      <c r="B361" s="10" t="inlineStr">
        <is>
          <t>2026-10</t>
        </is>
      </c>
      <c r="C361" s="11" t="n">
        <v>10</v>
      </c>
      <c r="D361" s="10" t="inlineStr">
        <is>
          <t>Mùa mưa</t>
        </is>
      </c>
      <c r="E361" s="12" t="n">
        <v>32.3</v>
      </c>
      <c r="F361" s="12" t="n">
        <v>25.3</v>
      </c>
      <c r="G361" s="12" t="n">
        <v>27.6</v>
      </c>
      <c r="H361" s="16" t="n">
        <v>27.66</v>
      </c>
      <c r="I361" s="12" t="n">
        <v>29.06</v>
      </c>
      <c r="J361" s="12" t="n">
        <v>26.24</v>
      </c>
      <c r="K361" s="12" t="n">
        <v>2.82</v>
      </c>
      <c r="L361" s="12" t="n">
        <v>7</v>
      </c>
      <c r="M361" s="11" t="n">
        <v>86</v>
      </c>
      <c r="N361" s="12" t="n">
        <v>3.8</v>
      </c>
      <c r="O361" s="11" t="n">
        <v>1</v>
      </c>
      <c r="P361" s="11" t="n">
        <v>1</v>
      </c>
      <c r="Q361" s="11" t="n">
        <v>0</v>
      </c>
      <c r="R361" s="25" t="n">
        <v>0.2</v>
      </c>
      <c r="S361" s="25" t="n">
        <v>-0.17</v>
      </c>
    </row>
    <row r="362">
      <c r="A362" s="24" t="n">
        <v>46299</v>
      </c>
      <c r="B362" s="10" t="inlineStr">
        <is>
          <t>2026-10</t>
        </is>
      </c>
      <c r="C362" s="11" t="n">
        <v>10</v>
      </c>
      <c r="D362" s="10" t="inlineStr">
        <is>
          <t>Mùa mưa</t>
        </is>
      </c>
      <c r="E362" s="12" t="n">
        <v>31.7</v>
      </c>
      <c r="F362" s="12" t="n">
        <v>25</v>
      </c>
      <c r="G362" s="12" t="n">
        <v>27.4</v>
      </c>
      <c r="H362" s="16" t="n">
        <v>27.67</v>
      </c>
      <c r="I362" s="12" t="n">
        <v>28.57</v>
      </c>
      <c r="J362" s="12" t="n">
        <v>26.2</v>
      </c>
      <c r="K362" s="12" t="n">
        <v>2.38</v>
      </c>
      <c r="L362" s="12" t="n">
        <v>6.7</v>
      </c>
      <c r="M362" s="11" t="n">
        <v>85</v>
      </c>
      <c r="N362" s="12" t="n">
        <v>5.1</v>
      </c>
      <c r="O362" s="11" t="n">
        <v>1</v>
      </c>
      <c r="P362" s="11" t="n">
        <v>1</v>
      </c>
      <c r="Q362" s="11" t="n">
        <v>0</v>
      </c>
      <c r="R362" s="25" t="n">
        <v>-0.6</v>
      </c>
      <c r="S362" s="25" t="n">
        <v>-0.9</v>
      </c>
    </row>
    <row r="363">
      <c r="A363" s="24" t="n">
        <v>46300</v>
      </c>
      <c r="B363" s="10" t="inlineStr">
        <is>
          <t>2026-10</t>
        </is>
      </c>
      <c r="C363" s="11" t="n">
        <v>10</v>
      </c>
      <c r="D363" s="10" t="inlineStr">
        <is>
          <t>Mùa mưa</t>
        </is>
      </c>
      <c r="E363" s="12" t="n">
        <v>33.3</v>
      </c>
      <c r="F363" s="12" t="n">
        <v>25.6</v>
      </c>
      <c r="G363" s="12" t="n">
        <v>28.2</v>
      </c>
      <c r="H363" s="16" t="n">
        <v>27.7</v>
      </c>
      <c r="I363" s="12" t="n">
        <v>29.94</v>
      </c>
      <c r="J363" s="12" t="n">
        <v>26.53</v>
      </c>
      <c r="K363" s="12" t="n">
        <v>3.41</v>
      </c>
      <c r="L363" s="12" t="n">
        <v>7.7</v>
      </c>
      <c r="M363" s="11" t="n">
        <v>84</v>
      </c>
      <c r="N363" s="12" t="n">
        <v>4.3</v>
      </c>
      <c r="O363" s="11" t="n">
        <v>1</v>
      </c>
      <c r="P363" s="11" t="n">
        <v>1</v>
      </c>
      <c r="Q363" s="11" t="n">
        <v>0</v>
      </c>
      <c r="R363" s="25" t="n">
        <v>1.6</v>
      </c>
      <c r="S363" s="25" t="n">
        <v>0.76</v>
      </c>
    </row>
    <row r="364">
      <c r="A364" s="24" t="n">
        <v>46301</v>
      </c>
      <c r="B364" s="10" t="inlineStr">
        <is>
          <t>2026-10</t>
        </is>
      </c>
      <c r="C364" s="11" t="n">
        <v>10</v>
      </c>
      <c r="D364" s="10" t="inlineStr">
        <is>
          <t>Mùa mưa</t>
        </is>
      </c>
      <c r="E364" s="12" t="n">
        <v>31.7</v>
      </c>
      <c r="F364" s="12" t="n">
        <v>24</v>
      </c>
      <c r="G364" s="12" t="n">
        <v>27.2</v>
      </c>
      <c r="H364" s="16" t="n">
        <v>27.54</v>
      </c>
      <c r="I364" s="12" t="n">
        <v>28.93</v>
      </c>
      <c r="J364" s="12" t="n">
        <v>25.62</v>
      </c>
      <c r="K364" s="12" t="n">
        <v>3.32</v>
      </c>
      <c r="L364" s="12" t="n">
        <v>7.7</v>
      </c>
      <c r="M364" s="11" t="n">
        <v>87</v>
      </c>
      <c r="N364" s="12" t="n">
        <v>17.9</v>
      </c>
      <c r="O364" s="11" t="n">
        <v>1</v>
      </c>
      <c r="P364" s="11" t="n">
        <v>1</v>
      </c>
      <c r="Q364" s="11" t="n">
        <v>0</v>
      </c>
      <c r="R364" s="25" t="n">
        <v>-1.6</v>
      </c>
      <c r="S364" s="25" t="n">
        <v>-0.87</v>
      </c>
    </row>
    <row r="365">
      <c r="A365" s="24" t="n">
        <v>46302</v>
      </c>
      <c r="B365" s="10" t="inlineStr">
        <is>
          <t>2026-10</t>
        </is>
      </c>
      <c r="C365" s="11" t="n">
        <v>10</v>
      </c>
      <c r="D365" s="10" t="inlineStr">
        <is>
          <t>Mùa mưa</t>
        </is>
      </c>
      <c r="E365" s="12" t="n">
        <v>32.3</v>
      </c>
      <c r="F365" s="12" t="n">
        <v>24.3</v>
      </c>
      <c r="G365" s="12" t="n">
        <v>27.5</v>
      </c>
      <c r="H365" s="16" t="n">
        <v>27.56</v>
      </c>
      <c r="I365" s="12" t="n">
        <v>29.41</v>
      </c>
      <c r="J365" s="12" t="n">
        <v>25.57</v>
      </c>
      <c r="K365" s="12" t="n">
        <v>3.83</v>
      </c>
      <c r="L365" s="12" t="n">
        <v>8</v>
      </c>
      <c r="M365" s="11" t="n">
        <v>86</v>
      </c>
      <c r="N365" s="12" t="n">
        <v>13.9</v>
      </c>
      <c r="O365" s="11" t="n">
        <v>1</v>
      </c>
      <c r="P365" s="11" t="n">
        <v>1</v>
      </c>
      <c r="Q365" s="11" t="n">
        <v>0</v>
      </c>
      <c r="R365" s="25" t="n">
        <v>0.6</v>
      </c>
      <c r="S365" s="25" t="n">
        <v>-0.1</v>
      </c>
    </row>
    <row r="366">
      <c r="A366" s="24" t="n">
        <v>46303</v>
      </c>
      <c r="B366" s="10" t="inlineStr">
        <is>
          <t>2026-10</t>
        </is>
      </c>
      <c r="C366" s="11" t="n">
        <v>10</v>
      </c>
      <c r="D366" s="10" t="inlineStr">
        <is>
          <t>Mùa mưa</t>
        </is>
      </c>
      <c r="E366" s="12" t="n">
        <v>31.4</v>
      </c>
      <c r="F366" s="12" t="n">
        <v>24.2</v>
      </c>
      <c r="G366" s="12" t="n">
        <v>26.8</v>
      </c>
      <c r="H366" s="16" t="n">
        <v>27.46</v>
      </c>
      <c r="I366" s="12" t="n">
        <v>28.78</v>
      </c>
      <c r="J366" s="12" t="n">
        <v>24.92</v>
      </c>
      <c r="K366" s="12" t="n">
        <v>3.87</v>
      </c>
      <c r="L366" s="12" t="n">
        <v>7.2</v>
      </c>
      <c r="M366" s="11" t="n">
        <v>87</v>
      </c>
      <c r="N366" s="12" t="n">
        <v>14.2</v>
      </c>
      <c r="O366" s="11" t="n">
        <v>1</v>
      </c>
      <c r="P366" s="11" t="n"/>
      <c r="Q366" s="11" t="n">
        <v>0</v>
      </c>
      <c r="R366" s="25" t="n">
        <v>-0.9</v>
      </c>
      <c r="S366" s="25" t="n">
        <v>-0.9399999999999999</v>
      </c>
    </row>
  </sheetData>
  <autoFilter ref="A1:S366"/>
  <conditionalFormatting sqref="Q2:Q366">
    <cfRule type="cellIs" priority="1" operator="equal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34" customWidth="1" min="8" max="8"/>
  </cols>
  <sheetData>
    <row r="1" ht="32" customHeight="1">
      <c r="A1" s="9" t="inlineStr">
        <is>
          <t>Ngày</t>
        </is>
      </c>
      <c r="B1" s="9" t="inlineStr">
        <is>
          <t>Mùa</t>
        </is>
      </c>
      <c r="C1" s="9" t="inlineStr">
        <is>
          <t>Max (°C)</t>
        </is>
      </c>
      <c r="D1" s="9" t="inlineStr">
        <is>
          <t>Min (°C)</t>
        </is>
      </c>
      <c r="E1" s="9" t="inlineStr">
        <is>
          <t>Độ ẩm TB (%)</t>
        </is>
      </c>
      <c r="F1" s="9" t="inlineStr">
        <is>
          <t>Độ ẩm min (%)</t>
        </is>
      </c>
      <c r="G1" s="9" t="inlineStr">
        <is>
          <t>Mưa (mm)</t>
        </is>
      </c>
      <c r="H1" s="9" t="inlineStr">
        <is>
          <t>Nhãn cực đoan</t>
        </is>
      </c>
    </row>
    <row r="2">
      <c r="A2" s="10" t="inlineStr">
        <is>
          <t>2025-10-13</t>
        </is>
      </c>
      <c r="B2" s="10" t="inlineStr">
        <is>
          <t>Mùa mưa</t>
        </is>
      </c>
      <c r="C2" s="10" t="n">
        <v>30.3</v>
      </c>
      <c r="D2" s="10" t="n">
        <v>24.2</v>
      </c>
      <c r="E2" s="10" t="n">
        <v>90</v>
      </c>
      <c r="F2" s="10" t="n">
        <v>73</v>
      </c>
      <c r="G2" s="10" t="n">
        <v>20.1</v>
      </c>
      <c r="H2" s="10" t="inlineStr">
        <is>
          <t>Ẩm cực đoan;</t>
        </is>
      </c>
    </row>
    <row r="3">
      <c r="A3" s="10" t="inlineStr">
        <is>
          <t>2025-10-25</t>
        </is>
      </c>
      <c r="B3" s="10" t="inlineStr">
        <is>
          <t>Mùa mưa</t>
        </is>
      </c>
      <c r="C3" s="10" t="n">
        <v>29</v>
      </c>
      <c r="D3" s="10" t="n">
        <v>23.8</v>
      </c>
      <c r="E3" s="10" t="n">
        <v>90</v>
      </c>
      <c r="F3" s="10" t="n">
        <v>75</v>
      </c>
      <c r="G3" s="10" t="n">
        <v>2.2</v>
      </c>
      <c r="H3" s="10" t="inlineStr">
        <is>
          <t>Ẩm cực đoan;</t>
        </is>
      </c>
    </row>
    <row r="4">
      <c r="A4" s="10" t="inlineStr">
        <is>
          <t>2025-10-28</t>
        </is>
      </c>
      <c r="B4" s="10" t="inlineStr">
        <is>
          <t>Mùa mưa</t>
        </is>
      </c>
      <c r="C4" s="10" t="n">
        <v>29.8</v>
      </c>
      <c r="D4" s="10" t="n">
        <v>24.3</v>
      </c>
      <c r="E4" s="10" t="n">
        <v>92</v>
      </c>
      <c r="F4" s="10" t="n">
        <v>73</v>
      </c>
      <c r="G4" s="10" t="n">
        <v>35.4</v>
      </c>
      <c r="H4" s="10" t="inlineStr">
        <is>
          <t>Ẩm cực đoan;</t>
        </is>
      </c>
    </row>
    <row r="5">
      <c r="A5" s="10" t="inlineStr">
        <is>
          <t>2025-10-29</t>
        </is>
      </c>
      <c r="B5" s="10" t="inlineStr">
        <is>
          <t>Mùa mưa</t>
        </is>
      </c>
      <c r="C5" s="10" t="n">
        <v>29.2</v>
      </c>
      <c r="D5" s="10" t="n">
        <v>24.4</v>
      </c>
      <c r="E5" s="10" t="n">
        <v>90</v>
      </c>
      <c r="F5" s="10" t="n">
        <v>74</v>
      </c>
      <c r="G5" s="10" t="n">
        <v>6.9</v>
      </c>
      <c r="H5" s="10" t="inlineStr">
        <is>
          <t>Ẩm cực đoan;</t>
        </is>
      </c>
    </row>
    <row r="6">
      <c r="A6" s="10" t="inlineStr">
        <is>
          <t>2025-10-30</t>
        </is>
      </c>
      <c r="B6" s="10" t="inlineStr">
        <is>
          <t>Mùa mưa</t>
        </is>
      </c>
      <c r="C6" s="10" t="n">
        <v>28.5</v>
      </c>
      <c r="D6" s="10" t="n">
        <v>24.5</v>
      </c>
      <c r="E6" s="10" t="n">
        <v>91</v>
      </c>
      <c r="F6" s="10" t="n">
        <v>80</v>
      </c>
      <c r="G6" s="10" t="n">
        <v>4.4</v>
      </c>
      <c r="H6" s="10" t="inlineStr">
        <is>
          <t>Ẩm cực đoan;</t>
        </is>
      </c>
    </row>
    <row r="7">
      <c r="A7" s="10" t="inlineStr">
        <is>
          <t>2025-11-01</t>
        </is>
      </c>
      <c r="B7" s="10" t="inlineStr">
        <is>
          <t>Mùa mưa</t>
        </is>
      </c>
      <c r="C7" s="10" t="n">
        <v>30.7</v>
      </c>
      <c r="D7" s="10" t="n">
        <v>24.5</v>
      </c>
      <c r="E7" s="10" t="n">
        <v>91</v>
      </c>
      <c r="F7" s="10" t="n">
        <v>70</v>
      </c>
      <c r="G7" s="10" t="n">
        <v>32</v>
      </c>
      <c r="H7" s="10" t="inlineStr">
        <is>
          <t>Ẩm cực đoan;</t>
        </is>
      </c>
    </row>
    <row r="8">
      <c r="A8" s="10" t="inlineStr">
        <is>
          <t>2025-11-03</t>
        </is>
      </c>
      <c r="B8" s="10" t="inlineStr">
        <is>
          <t>Mùa mưa</t>
        </is>
      </c>
      <c r="C8" s="10" t="n">
        <v>28.7</v>
      </c>
      <c r="D8" s="10" t="n">
        <v>24.1</v>
      </c>
      <c r="E8" s="10" t="n">
        <v>89</v>
      </c>
      <c r="F8" s="10" t="n">
        <v>76</v>
      </c>
      <c r="G8" s="10" t="n">
        <v>19.3</v>
      </c>
      <c r="H8" s="10" t="inlineStr">
        <is>
          <t>Ẩm cực đoan;</t>
        </is>
      </c>
    </row>
    <row r="9">
      <c r="A9" s="10" t="inlineStr">
        <is>
          <t>2025-11-05</t>
        </is>
      </c>
      <c r="B9" s="10" t="inlineStr">
        <is>
          <t>Mùa mưa</t>
        </is>
      </c>
      <c r="C9" s="10" t="n">
        <v>29.9</v>
      </c>
      <c r="D9" s="10" t="n">
        <v>24</v>
      </c>
      <c r="E9" s="10" t="n">
        <v>90</v>
      </c>
      <c r="F9" s="10" t="n">
        <v>70</v>
      </c>
      <c r="G9" s="10" t="n">
        <v>8.699999999999999</v>
      </c>
      <c r="H9" s="10" t="inlineStr">
        <is>
          <t>Ẩm cực đoan;</t>
        </is>
      </c>
    </row>
    <row r="10">
      <c r="A10" s="10" t="inlineStr">
        <is>
          <t>2025-11-06</t>
        </is>
      </c>
      <c r="B10" s="10" t="inlineStr">
        <is>
          <t>Mùa mưa</t>
        </is>
      </c>
      <c r="C10" s="10" t="n">
        <v>28.6</v>
      </c>
      <c r="D10" s="10" t="n">
        <v>23.9</v>
      </c>
      <c r="E10" s="10" t="n">
        <v>91</v>
      </c>
      <c r="F10" s="10" t="n">
        <v>76</v>
      </c>
      <c r="G10" s="10" t="n">
        <v>9.1</v>
      </c>
      <c r="H10" s="10" t="inlineStr">
        <is>
          <t>Ẩm cực đoan;</t>
        </is>
      </c>
    </row>
    <row r="11">
      <c r="A11" s="10" t="inlineStr">
        <is>
          <t>2025-11-07</t>
        </is>
      </c>
      <c r="B11" s="10" t="inlineStr">
        <is>
          <t>Mùa mưa</t>
        </is>
      </c>
      <c r="C11" s="10" t="n">
        <v>31.3</v>
      </c>
      <c r="D11" s="10" t="n">
        <v>24.3</v>
      </c>
      <c r="E11" s="10" t="n">
        <v>90</v>
      </c>
      <c r="F11" s="10" t="n">
        <v>69</v>
      </c>
      <c r="G11" s="10" t="n">
        <v>8.9</v>
      </c>
      <c r="H11" s="10" t="inlineStr">
        <is>
          <t>Ẩm cực đoan;</t>
        </is>
      </c>
    </row>
    <row r="12">
      <c r="A12" s="10" t="inlineStr">
        <is>
          <t>2025-11-15</t>
        </is>
      </c>
      <c r="B12" s="10" t="inlineStr">
        <is>
          <t>Mùa mưa</t>
        </is>
      </c>
      <c r="C12" s="10" t="n">
        <v>31.2</v>
      </c>
      <c r="D12" s="10" t="n">
        <v>20.6</v>
      </c>
      <c r="E12" s="10" t="n">
        <v>75</v>
      </c>
      <c r="F12" s="10" t="n">
        <v>51</v>
      </c>
      <c r="G12" s="10" t="n">
        <v>0</v>
      </c>
      <c r="H12" s="10" t="inlineStr">
        <is>
          <t>Mát cực đoan;</t>
        </is>
      </c>
    </row>
    <row r="13">
      <c r="A13" s="10" t="inlineStr">
        <is>
          <t>2025-11-17</t>
        </is>
      </c>
      <c r="B13" s="10" t="inlineStr">
        <is>
          <t>Mùa mưa</t>
        </is>
      </c>
      <c r="C13" s="10" t="n">
        <v>28.6</v>
      </c>
      <c r="D13" s="10" t="n">
        <v>23.4</v>
      </c>
      <c r="E13" s="10" t="n">
        <v>90</v>
      </c>
      <c r="F13" s="10" t="n">
        <v>75</v>
      </c>
      <c r="G13" s="10" t="n">
        <v>11.9</v>
      </c>
      <c r="H13" s="10" t="inlineStr">
        <is>
          <t>Ẩm cực đoan;</t>
        </is>
      </c>
    </row>
    <row r="14">
      <c r="A14" s="10" t="inlineStr">
        <is>
          <t>2025-11-18</t>
        </is>
      </c>
      <c r="B14" s="10" t="inlineStr">
        <is>
          <t>Mùa mưa</t>
        </is>
      </c>
      <c r="C14" s="10" t="n">
        <v>30.1</v>
      </c>
      <c r="D14" s="10" t="n">
        <v>24.1</v>
      </c>
      <c r="E14" s="10" t="n">
        <v>90</v>
      </c>
      <c r="F14" s="10" t="n">
        <v>69</v>
      </c>
      <c r="G14" s="10" t="n">
        <v>10.1</v>
      </c>
      <c r="H14" s="10" t="inlineStr">
        <is>
          <t>Ẩm cực đoan;</t>
        </is>
      </c>
    </row>
    <row r="15">
      <c r="A15" s="10" t="inlineStr">
        <is>
          <t>2025-11-19</t>
        </is>
      </c>
      <c r="B15" s="10" t="inlineStr">
        <is>
          <t>Mùa mưa</t>
        </is>
      </c>
      <c r="C15" s="10" t="n">
        <v>31.3</v>
      </c>
      <c r="D15" s="10" t="n">
        <v>23.1</v>
      </c>
      <c r="E15" s="10" t="n">
        <v>91</v>
      </c>
      <c r="F15" s="10" t="n">
        <v>65</v>
      </c>
      <c r="G15" s="10" t="n">
        <v>23.2</v>
      </c>
      <c r="H15" s="10" t="inlineStr">
        <is>
          <t>Ẩm cực đoan;</t>
        </is>
      </c>
    </row>
    <row r="16">
      <c r="A16" s="10" t="inlineStr">
        <is>
          <t>2025-11-26</t>
        </is>
      </c>
      <c r="B16" s="10" t="inlineStr">
        <is>
          <t>Mùa mưa</t>
        </is>
      </c>
      <c r="C16" s="10" t="n">
        <v>31.1</v>
      </c>
      <c r="D16" s="10" t="n">
        <v>21.8</v>
      </c>
      <c r="E16" s="10" t="n">
        <v>70</v>
      </c>
      <c r="F16" s="10" t="n">
        <v>54</v>
      </c>
      <c r="G16" s="10" t="n">
        <v>0</v>
      </c>
      <c r="H16" s="10" t="inlineStr">
        <is>
          <t>Mát cực đoan;</t>
        </is>
      </c>
    </row>
    <row r="17">
      <c r="A17" s="10" t="inlineStr">
        <is>
          <t>2025-11-27</t>
        </is>
      </c>
      <c r="B17" s="10" t="inlineStr">
        <is>
          <t>Mùa mưa</t>
        </is>
      </c>
      <c r="C17" s="10" t="n">
        <v>30.6</v>
      </c>
      <c r="D17" s="10" t="n">
        <v>21.9</v>
      </c>
      <c r="E17" s="10" t="n">
        <v>69</v>
      </c>
      <c r="F17" s="10" t="n">
        <v>55</v>
      </c>
      <c r="G17" s="10" t="n">
        <v>0</v>
      </c>
      <c r="H17" s="10" t="inlineStr">
        <is>
          <t>Mát cực đoan;</t>
        </is>
      </c>
    </row>
    <row r="18">
      <c r="A18" s="10" t="inlineStr">
        <is>
          <t>2025-11-28</t>
        </is>
      </c>
      <c r="B18" s="10" t="inlineStr">
        <is>
          <t>Mùa mưa</t>
        </is>
      </c>
      <c r="C18" s="10" t="n">
        <v>29.3</v>
      </c>
      <c r="D18" s="10" t="n">
        <v>19.5</v>
      </c>
      <c r="E18" s="10" t="n">
        <v>63</v>
      </c>
      <c r="F18" s="10" t="n">
        <v>53</v>
      </c>
      <c r="G18" s="10" t="n">
        <v>0</v>
      </c>
      <c r="H18" s="10" t="inlineStr">
        <is>
          <t>Mát cực đoan;</t>
        </is>
      </c>
    </row>
    <row r="19">
      <c r="A19" s="10" t="inlineStr">
        <is>
          <t>2025-11-29</t>
        </is>
      </c>
      <c r="B19" s="10" t="inlineStr">
        <is>
          <t>Mùa mưa</t>
        </is>
      </c>
      <c r="C19" s="10" t="n">
        <v>31.5</v>
      </c>
      <c r="D19" s="10" t="n">
        <v>20.8</v>
      </c>
      <c r="E19" s="10" t="n">
        <v>67</v>
      </c>
      <c r="F19" s="10" t="n">
        <v>50</v>
      </c>
      <c r="G19" s="10" t="n">
        <v>0</v>
      </c>
      <c r="H19" s="10" t="inlineStr">
        <is>
          <t>Mát cực đoan;</t>
        </is>
      </c>
    </row>
    <row r="20">
      <c r="A20" s="10" t="inlineStr">
        <is>
          <t>2025-12-06</t>
        </is>
      </c>
      <c r="B20" s="10" t="inlineStr">
        <is>
          <t>Mùa khô</t>
        </is>
      </c>
      <c r="C20" s="10" t="n">
        <v>30.8</v>
      </c>
      <c r="D20" s="10" t="n">
        <v>21.9</v>
      </c>
      <c r="E20" s="10" t="n">
        <v>79</v>
      </c>
      <c r="F20" s="10" t="n">
        <v>56</v>
      </c>
      <c r="G20" s="10" t="n">
        <v>0.3</v>
      </c>
      <c r="H20" s="10" t="inlineStr">
        <is>
          <t>Mát cực đoan;</t>
        </is>
      </c>
    </row>
    <row r="21">
      <c r="A21" s="10" t="inlineStr">
        <is>
          <t>2025-12-07</t>
        </is>
      </c>
      <c r="B21" s="10" t="inlineStr">
        <is>
          <t>Mùa khô</t>
        </is>
      </c>
      <c r="C21" s="10" t="n">
        <v>31.1</v>
      </c>
      <c r="D21" s="10" t="n">
        <v>21.1</v>
      </c>
      <c r="E21" s="10" t="n">
        <v>76</v>
      </c>
      <c r="F21" s="10" t="n">
        <v>49</v>
      </c>
      <c r="G21" s="10" t="n">
        <v>0.4</v>
      </c>
      <c r="H21" s="10" t="inlineStr">
        <is>
          <t>Mát cực đoan;</t>
        </is>
      </c>
    </row>
    <row r="22">
      <c r="A22" s="10" t="inlineStr">
        <is>
          <t>2025-12-08</t>
        </is>
      </c>
      <c r="B22" s="10" t="inlineStr">
        <is>
          <t>Mùa khô</t>
        </is>
      </c>
      <c r="C22" s="10" t="n">
        <v>30.6</v>
      </c>
      <c r="D22" s="10" t="n">
        <v>20.2</v>
      </c>
      <c r="E22" s="10" t="n">
        <v>64</v>
      </c>
      <c r="F22" s="10" t="n">
        <v>45</v>
      </c>
      <c r="G22" s="10" t="n">
        <v>0</v>
      </c>
      <c r="H22" s="10" t="inlineStr">
        <is>
          <t>Mát cực đoan;</t>
        </is>
      </c>
    </row>
    <row r="23">
      <c r="A23" s="10" t="inlineStr">
        <is>
          <t>2025-12-09</t>
        </is>
      </c>
      <c r="B23" s="10" t="inlineStr">
        <is>
          <t>Mùa khô</t>
        </is>
      </c>
      <c r="C23" s="10" t="n">
        <v>31.6</v>
      </c>
      <c r="D23" s="10" t="n">
        <v>21.7</v>
      </c>
      <c r="E23" s="10" t="n">
        <v>64</v>
      </c>
      <c r="F23" s="10" t="n">
        <v>44</v>
      </c>
      <c r="G23" s="10" t="n">
        <v>0.1</v>
      </c>
      <c r="H23" s="10" t="inlineStr">
        <is>
          <t>Mát cực đoan;</t>
        </is>
      </c>
    </row>
    <row r="24">
      <c r="A24" s="10" t="inlineStr">
        <is>
          <t>2025-12-27</t>
        </is>
      </c>
      <c r="B24" s="10" t="inlineStr">
        <is>
          <t>Mùa khô</t>
        </is>
      </c>
      <c r="C24" s="10" t="n">
        <v>30.3</v>
      </c>
      <c r="D24" s="10" t="n">
        <v>22.3</v>
      </c>
      <c r="E24" s="10" t="n">
        <v>82</v>
      </c>
      <c r="F24" s="10" t="n">
        <v>59</v>
      </c>
      <c r="G24" s="10" t="n">
        <v>0.7</v>
      </c>
      <c r="H24" s="10" t="inlineStr">
        <is>
          <t>Mát cực đoan;</t>
        </is>
      </c>
    </row>
    <row r="25">
      <c r="A25" s="10" t="inlineStr">
        <is>
          <t>2025-12-28</t>
        </is>
      </c>
      <c r="B25" s="10" t="inlineStr">
        <is>
          <t>Mùa khô</t>
        </is>
      </c>
      <c r="C25" s="10" t="n">
        <v>31</v>
      </c>
      <c r="D25" s="10" t="n">
        <v>22.3</v>
      </c>
      <c r="E25" s="10" t="n">
        <v>80</v>
      </c>
      <c r="F25" s="10" t="n">
        <v>53</v>
      </c>
      <c r="G25" s="10" t="n">
        <v>0</v>
      </c>
      <c r="H25" s="10" t="inlineStr">
        <is>
          <t>Mát cực đoan;</t>
        </is>
      </c>
    </row>
    <row r="26">
      <c r="A26" s="10" t="inlineStr">
        <is>
          <t>2025-12-30</t>
        </is>
      </c>
      <c r="B26" s="10" t="inlineStr">
        <is>
          <t>Mùa khô</t>
        </is>
      </c>
      <c r="C26" s="10" t="n">
        <v>30.5</v>
      </c>
      <c r="D26" s="10" t="n">
        <v>21.6</v>
      </c>
      <c r="E26" s="10" t="n">
        <v>75</v>
      </c>
      <c r="F26" s="10" t="n">
        <v>44</v>
      </c>
      <c r="G26" s="10" t="n">
        <v>0</v>
      </c>
      <c r="H26" s="10" t="inlineStr">
        <is>
          <t>Mát cực đoan;</t>
        </is>
      </c>
    </row>
    <row r="27">
      <c r="A27" s="10" t="inlineStr">
        <is>
          <t>2025-12-31</t>
        </is>
      </c>
      <c r="B27" s="10" t="inlineStr">
        <is>
          <t>Mùa khô</t>
        </is>
      </c>
      <c r="C27" s="10" t="n">
        <v>31.2</v>
      </c>
      <c r="D27" s="10" t="n">
        <v>21</v>
      </c>
      <c r="E27" s="10" t="n">
        <v>74</v>
      </c>
      <c r="F27" s="10" t="n">
        <v>43</v>
      </c>
      <c r="G27" s="10" t="n">
        <v>0</v>
      </c>
      <c r="H27" s="10" t="inlineStr">
        <is>
          <t>Mát cực đoan;</t>
        </is>
      </c>
    </row>
    <row r="28">
      <c r="A28" s="10" t="inlineStr">
        <is>
          <t>2026-01-01</t>
        </is>
      </c>
      <c r="B28" s="10" t="inlineStr">
        <is>
          <t>Mùa khô</t>
        </is>
      </c>
      <c r="C28" s="10" t="n">
        <v>31.2</v>
      </c>
      <c r="D28" s="10" t="n">
        <v>21.1</v>
      </c>
      <c r="E28" s="10" t="n">
        <v>69</v>
      </c>
      <c r="F28" s="10" t="n">
        <v>41</v>
      </c>
      <c r="G28" s="10" t="n">
        <v>0</v>
      </c>
      <c r="H28" s="10" t="inlineStr">
        <is>
          <t>Mát cực đoan;</t>
        </is>
      </c>
    </row>
    <row r="29">
      <c r="A29" s="10" t="inlineStr">
        <is>
          <t>2026-01-02</t>
        </is>
      </c>
      <c r="B29" s="10" t="inlineStr">
        <is>
          <t>Mùa khô</t>
        </is>
      </c>
      <c r="C29" s="10" t="n">
        <v>31.2</v>
      </c>
      <c r="D29" s="10" t="n">
        <v>21</v>
      </c>
      <c r="E29" s="10" t="n">
        <v>65</v>
      </c>
      <c r="F29" s="10" t="n">
        <v>44</v>
      </c>
      <c r="G29" s="10" t="n">
        <v>0</v>
      </c>
      <c r="H29" s="10" t="inlineStr">
        <is>
          <t>Mát cực đoan;</t>
        </is>
      </c>
    </row>
    <row r="30">
      <c r="A30" s="10" t="inlineStr">
        <is>
          <t>2026-01-03</t>
        </is>
      </c>
      <c r="B30" s="10" t="inlineStr">
        <is>
          <t>Mùa khô</t>
        </is>
      </c>
      <c r="C30" s="10" t="n">
        <v>30.7</v>
      </c>
      <c r="D30" s="10" t="n">
        <v>20.9</v>
      </c>
      <c r="E30" s="10" t="n">
        <v>59</v>
      </c>
      <c r="F30" s="10" t="n">
        <v>43</v>
      </c>
      <c r="G30" s="10" t="n">
        <v>0</v>
      </c>
      <c r="H30" s="10" t="inlineStr">
        <is>
          <t>Mát cực đoan; Khô cực đoan;</t>
        </is>
      </c>
    </row>
    <row r="31">
      <c r="A31" s="10" t="inlineStr">
        <is>
          <t>2026-01-04</t>
        </is>
      </c>
      <c r="B31" s="10" t="inlineStr">
        <is>
          <t>Mùa khô</t>
        </is>
      </c>
      <c r="C31" s="10" t="n">
        <v>33.2</v>
      </c>
      <c r="D31" s="10" t="n">
        <v>20.1</v>
      </c>
      <c r="E31" s="10" t="n">
        <v>58</v>
      </c>
      <c r="F31" s="10" t="n">
        <v>33</v>
      </c>
      <c r="G31" s="10" t="n">
        <v>0</v>
      </c>
      <c r="H31" s="10" t="inlineStr">
        <is>
          <t>Mát cực đoan; Khô cực đoan;</t>
        </is>
      </c>
    </row>
    <row r="32">
      <c r="A32" s="10" t="inlineStr">
        <is>
          <t>2026-01-07</t>
        </is>
      </c>
      <c r="B32" s="10" t="inlineStr">
        <is>
          <t>Mùa khô</t>
        </is>
      </c>
      <c r="C32" s="10" t="n">
        <v>30.7</v>
      </c>
      <c r="D32" s="10" t="n">
        <v>21.9</v>
      </c>
      <c r="E32" s="10" t="n">
        <v>67</v>
      </c>
      <c r="F32" s="10" t="n">
        <v>47</v>
      </c>
      <c r="G32" s="10" t="n">
        <v>0</v>
      </c>
      <c r="H32" s="10" t="inlineStr">
        <is>
          <t>Mát cực đoan;</t>
        </is>
      </c>
    </row>
    <row r="33">
      <c r="A33" s="10" t="inlineStr">
        <is>
          <t>2026-01-08</t>
        </is>
      </c>
      <c r="B33" s="10" t="inlineStr">
        <is>
          <t>Mùa khô</t>
        </is>
      </c>
      <c r="C33" s="10" t="n">
        <v>30.7</v>
      </c>
      <c r="D33" s="10" t="n">
        <v>20.5</v>
      </c>
      <c r="E33" s="10" t="n">
        <v>60</v>
      </c>
      <c r="F33" s="10" t="n">
        <v>37</v>
      </c>
      <c r="G33" s="10" t="n">
        <v>0</v>
      </c>
      <c r="H33" s="10" t="inlineStr">
        <is>
          <t>Mát cực đoan; Khô cực đoan;</t>
        </is>
      </c>
    </row>
    <row r="34">
      <c r="A34" s="10" t="inlineStr">
        <is>
          <t>2026-01-09</t>
        </is>
      </c>
      <c r="B34" s="10" t="inlineStr">
        <is>
          <t>Mùa khô</t>
        </is>
      </c>
      <c r="C34" s="10" t="n">
        <v>29.6</v>
      </c>
      <c r="D34" s="10" t="n">
        <v>17.9</v>
      </c>
      <c r="E34" s="10" t="n">
        <v>55</v>
      </c>
      <c r="F34" s="10" t="n">
        <v>35</v>
      </c>
      <c r="G34" s="10" t="n">
        <v>0</v>
      </c>
      <c r="H34" s="10" t="inlineStr">
        <is>
          <t>Mát cực đoan; Khô cực đoan;</t>
        </is>
      </c>
    </row>
    <row r="35">
      <c r="A35" s="10" t="inlineStr">
        <is>
          <t>2026-01-10</t>
        </is>
      </c>
      <c r="B35" s="10" t="inlineStr">
        <is>
          <t>Mùa khô</t>
        </is>
      </c>
      <c r="C35" s="10" t="n">
        <v>30.5</v>
      </c>
      <c r="D35" s="10" t="n">
        <v>18.7</v>
      </c>
      <c r="E35" s="10" t="n">
        <v>57</v>
      </c>
      <c r="F35" s="10" t="n">
        <v>33</v>
      </c>
      <c r="G35" s="10" t="n">
        <v>0</v>
      </c>
      <c r="H35" s="10" t="inlineStr">
        <is>
          <t>Mát cực đoan; Khô cực đoan;</t>
        </is>
      </c>
    </row>
    <row r="36">
      <c r="A36" s="10" t="inlineStr">
        <is>
          <t>2026-01-11</t>
        </is>
      </c>
      <c r="B36" s="10" t="inlineStr">
        <is>
          <t>Mùa khô</t>
        </is>
      </c>
      <c r="C36" s="10" t="n">
        <v>30.9</v>
      </c>
      <c r="D36" s="10" t="n">
        <v>20.6</v>
      </c>
      <c r="E36" s="10" t="n">
        <v>61</v>
      </c>
      <c r="F36" s="10" t="n">
        <v>38</v>
      </c>
      <c r="G36" s="10" t="n">
        <v>0</v>
      </c>
      <c r="H36" s="10" t="inlineStr">
        <is>
          <t>Mát cực đoan; Khô cực đoan;</t>
        </is>
      </c>
    </row>
    <row r="37">
      <c r="A37" s="10" t="inlineStr">
        <is>
          <t>2026-01-14</t>
        </is>
      </c>
      <c r="B37" s="10" t="inlineStr">
        <is>
          <t>Mùa khô</t>
        </is>
      </c>
      <c r="C37" s="10" t="n">
        <v>31.1</v>
      </c>
      <c r="D37" s="10" t="n">
        <v>22.2</v>
      </c>
      <c r="E37" s="10" t="n">
        <v>72</v>
      </c>
      <c r="F37" s="10" t="n">
        <v>48</v>
      </c>
      <c r="G37" s="10" t="n">
        <v>0.4</v>
      </c>
      <c r="H37" s="10" t="inlineStr">
        <is>
          <t>Mát cực đoan;</t>
        </is>
      </c>
    </row>
    <row r="38">
      <c r="A38" s="10" t="inlineStr">
        <is>
          <t>2026-01-16</t>
        </is>
      </c>
      <c r="B38" s="10" t="inlineStr">
        <is>
          <t>Mùa khô</t>
        </is>
      </c>
      <c r="C38" s="10" t="n">
        <v>32.4</v>
      </c>
      <c r="D38" s="10" t="n">
        <v>22.3</v>
      </c>
      <c r="E38" s="10" t="n">
        <v>70</v>
      </c>
      <c r="F38" s="10" t="n">
        <v>42</v>
      </c>
      <c r="G38" s="10" t="n">
        <v>0</v>
      </c>
      <c r="H38" s="10" t="inlineStr">
        <is>
          <t>Mát cực đoan;</t>
        </is>
      </c>
    </row>
    <row r="39">
      <c r="A39" s="10" t="inlineStr">
        <is>
          <t>2026-01-17</t>
        </is>
      </c>
      <c r="B39" s="10" t="inlineStr">
        <is>
          <t>Mùa khô</t>
        </is>
      </c>
      <c r="C39" s="10" t="n">
        <v>32.9</v>
      </c>
      <c r="D39" s="10" t="n">
        <v>22.3</v>
      </c>
      <c r="E39" s="10" t="n">
        <v>70</v>
      </c>
      <c r="F39" s="10" t="n">
        <v>36</v>
      </c>
      <c r="G39" s="10" t="n">
        <v>0</v>
      </c>
      <c r="H39" s="10" t="inlineStr">
        <is>
          <t>Mát cực đoan;</t>
        </is>
      </c>
    </row>
    <row r="40">
      <c r="A40" s="10" t="inlineStr">
        <is>
          <t>2026-01-21</t>
        </is>
      </c>
      <c r="B40" s="10" t="inlineStr">
        <is>
          <t>Mùa khô</t>
        </is>
      </c>
      <c r="C40" s="10" t="n">
        <v>33.6</v>
      </c>
      <c r="D40" s="10" t="n">
        <v>21.9</v>
      </c>
      <c r="E40" s="10" t="n">
        <v>61</v>
      </c>
      <c r="F40" s="10" t="n">
        <v>22</v>
      </c>
      <c r="G40" s="10" t="n">
        <v>0</v>
      </c>
      <c r="H40" s="10" t="inlineStr">
        <is>
          <t>Mát cực đoan; Khô cực đoan;</t>
        </is>
      </c>
    </row>
    <row r="41">
      <c r="A41" s="10" t="inlineStr">
        <is>
          <t>2026-01-22</t>
        </is>
      </c>
      <c r="B41" s="10" t="inlineStr">
        <is>
          <t>Mùa khô</t>
        </is>
      </c>
      <c r="C41" s="10" t="n">
        <v>33.6</v>
      </c>
      <c r="D41" s="10" t="n">
        <v>21.5</v>
      </c>
      <c r="E41" s="10" t="n">
        <v>59</v>
      </c>
      <c r="F41" s="10" t="n">
        <v>27</v>
      </c>
      <c r="G41" s="10" t="n">
        <v>0</v>
      </c>
      <c r="H41" s="10" t="inlineStr">
        <is>
          <t>Mát cực đoan; Khô cực đoan;</t>
        </is>
      </c>
    </row>
    <row r="42">
      <c r="A42" s="10" t="inlineStr">
        <is>
          <t>2026-01-23</t>
        </is>
      </c>
      <c r="B42" s="10" t="inlineStr">
        <is>
          <t>Mùa khô</t>
        </is>
      </c>
      <c r="C42" s="10" t="n">
        <v>34.1</v>
      </c>
      <c r="D42" s="10" t="n">
        <v>22.9</v>
      </c>
      <c r="E42" s="10" t="n">
        <v>55</v>
      </c>
      <c r="F42" s="10" t="n">
        <v>30</v>
      </c>
      <c r="G42" s="10" t="n">
        <v>0</v>
      </c>
      <c r="H42" s="10" t="inlineStr">
        <is>
          <t>Khô cực đoan;</t>
        </is>
      </c>
    </row>
    <row r="43">
      <c r="A43" s="10" t="inlineStr">
        <is>
          <t>2026-01-24</t>
        </is>
      </c>
      <c r="B43" s="10" t="inlineStr">
        <is>
          <t>Mùa khô</t>
        </is>
      </c>
      <c r="C43" s="10" t="n">
        <v>32.4</v>
      </c>
      <c r="D43" s="10" t="n">
        <v>21.7</v>
      </c>
      <c r="E43" s="10" t="n">
        <v>65</v>
      </c>
      <c r="F43" s="10" t="n">
        <v>37</v>
      </c>
      <c r="G43" s="10" t="n">
        <v>0</v>
      </c>
      <c r="H43" s="10" t="inlineStr">
        <is>
          <t>Mát cực đoan;</t>
        </is>
      </c>
    </row>
    <row r="44">
      <c r="A44" s="10" t="inlineStr">
        <is>
          <t>2026-01-25</t>
        </is>
      </c>
      <c r="B44" s="10" t="inlineStr">
        <is>
          <t>Mùa khô</t>
        </is>
      </c>
      <c r="C44" s="10" t="n">
        <v>33.1</v>
      </c>
      <c r="D44" s="10" t="n">
        <v>21.9</v>
      </c>
      <c r="E44" s="10" t="n">
        <v>64</v>
      </c>
      <c r="F44" s="10" t="n">
        <v>31</v>
      </c>
      <c r="G44" s="10" t="n">
        <v>0</v>
      </c>
      <c r="H44" s="10" t="inlineStr">
        <is>
          <t>Mát cực đoan;</t>
        </is>
      </c>
    </row>
    <row r="45">
      <c r="A45" s="10" t="inlineStr">
        <is>
          <t>2026-01-26</t>
        </is>
      </c>
      <c r="B45" s="10" t="inlineStr">
        <is>
          <t>Mùa khô</t>
        </is>
      </c>
      <c r="C45" s="10" t="n">
        <v>33.3</v>
      </c>
      <c r="D45" s="10" t="n">
        <v>22</v>
      </c>
      <c r="E45" s="10" t="n">
        <v>64</v>
      </c>
      <c r="F45" s="10" t="n">
        <v>31</v>
      </c>
      <c r="G45" s="10" t="n">
        <v>0</v>
      </c>
      <c r="H45" s="10" t="inlineStr">
        <is>
          <t>Mát cực đoan;</t>
        </is>
      </c>
    </row>
    <row r="46">
      <c r="A46" s="10" t="inlineStr">
        <is>
          <t>2026-01-27</t>
        </is>
      </c>
      <c r="B46" s="10" t="inlineStr">
        <is>
          <t>Mùa khô</t>
        </is>
      </c>
      <c r="C46" s="10" t="n">
        <v>33.8</v>
      </c>
      <c r="D46" s="10" t="n">
        <v>22.2</v>
      </c>
      <c r="E46" s="10" t="n">
        <v>62</v>
      </c>
      <c r="F46" s="10" t="n">
        <v>28</v>
      </c>
      <c r="G46" s="10" t="n">
        <v>0</v>
      </c>
      <c r="H46" s="10" t="inlineStr">
        <is>
          <t>Mát cực đoan; Khô cực đoan;</t>
        </is>
      </c>
    </row>
    <row r="47">
      <c r="A47" s="10" t="inlineStr">
        <is>
          <t>2026-01-28</t>
        </is>
      </c>
      <c r="B47" s="10" t="inlineStr">
        <is>
          <t>Mùa khô</t>
        </is>
      </c>
      <c r="C47" s="10" t="n">
        <v>34.2</v>
      </c>
      <c r="D47" s="10" t="n">
        <v>22</v>
      </c>
      <c r="E47" s="10" t="n">
        <v>63</v>
      </c>
      <c r="F47" s="10" t="n">
        <v>26</v>
      </c>
      <c r="G47" s="10" t="n">
        <v>0</v>
      </c>
      <c r="H47" s="10" t="inlineStr">
        <is>
          <t>Mát cực đoan;</t>
        </is>
      </c>
    </row>
    <row r="48">
      <c r="A48" s="10" t="inlineStr">
        <is>
          <t>2026-01-29</t>
        </is>
      </c>
      <c r="B48" s="10" t="inlineStr">
        <is>
          <t>Mùa khô</t>
        </is>
      </c>
      <c r="C48" s="10" t="n">
        <v>32.9</v>
      </c>
      <c r="D48" s="10" t="n">
        <v>22.3</v>
      </c>
      <c r="E48" s="10" t="n">
        <v>63</v>
      </c>
      <c r="F48" s="10" t="n">
        <v>36</v>
      </c>
      <c r="G48" s="10" t="n">
        <v>0</v>
      </c>
      <c r="H48" s="10" t="inlineStr">
        <is>
          <t>Mát cực đoan;</t>
        </is>
      </c>
    </row>
    <row r="49">
      <c r="A49" s="10" t="inlineStr">
        <is>
          <t>2026-02-01</t>
        </is>
      </c>
      <c r="B49" s="10" t="inlineStr">
        <is>
          <t>Mùa khô</t>
        </is>
      </c>
      <c r="C49" s="10" t="n">
        <v>34.1</v>
      </c>
      <c r="D49" s="10" t="n">
        <v>22.1</v>
      </c>
      <c r="E49" s="10" t="n">
        <v>58</v>
      </c>
      <c r="F49" s="10" t="n">
        <v>24</v>
      </c>
      <c r="G49" s="10" t="n">
        <v>0</v>
      </c>
      <c r="H49" s="10" t="inlineStr">
        <is>
          <t>Mát cực đoan; Khô cực đoan;</t>
        </is>
      </c>
    </row>
    <row r="50">
      <c r="A50" s="10" t="inlineStr">
        <is>
          <t>2026-02-02</t>
        </is>
      </c>
      <c r="B50" s="10" t="inlineStr">
        <is>
          <t>Mùa khô</t>
        </is>
      </c>
      <c r="C50" s="10" t="n">
        <v>34.1</v>
      </c>
      <c r="D50" s="10" t="n">
        <v>21.5</v>
      </c>
      <c r="E50" s="10" t="n">
        <v>63</v>
      </c>
      <c r="F50" s="10" t="n">
        <v>29</v>
      </c>
      <c r="G50" s="10" t="n">
        <v>0</v>
      </c>
      <c r="H50" s="10" t="inlineStr">
        <is>
          <t>Mát cực đoan;</t>
        </is>
      </c>
    </row>
    <row r="51">
      <c r="A51" s="10" t="inlineStr">
        <is>
          <t>2026-02-03</t>
        </is>
      </c>
      <c r="B51" s="10" t="inlineStr">
        <is>
          <t>Mùa khô</t>
        </is>
      </c>
      <c r="C51" s="10" t="n">
        <v>33.9</v>
      </c>
      <c r="D51" s="10" t="n">
        <v>24.4</v>
      </c>
      <c r="E51" s="10" t="n">
        <v>60</v>
      </c>
      <c r="F51" s="10" t="n">
        <v>37</v>
      </c>
      <c r="G51" s="10" t="n">
        <v>0.9</v>
      </c>
      <c r="H51" s="10" t="inlineStr">
        <is>
          <t>Khô cực đoan;</t>
        </is>
      </c>
    </row>
    <row r="52">
      <c r="A52" s="10" t="inlineStr">
        <is>
          <t>2026-02-09</t>
        </is>
      </c>
      <c r="B52" s="10" t="inlineStr">
        <is>
          <t>Mùa khô</t>
        </is>
      </c>
      <c r="C52" s="10" t="n">
        <v>35.1</v>
      </c>
      <c r="D52" s="10" t="n">
        <v>22.2</v>
      </c>
      <c r="E52" s="10" t="n">
        <v>55</v>
      </c>
      <c r="F52" s="10" t="n">
        <v>30</v>
      </c>
      <c r="G52" s="10" t="n">
        <v>0</v>
      </c>
      <c r="H52" s="10" t="inlineStr">
        <is>
          <t>Mát cực đoan; Khô cực đoan;</t>
        </is>
      </c>
    </row>
    <row r="53">
      <c r="A53" s="10" t="inlineStr">
        <is>
          <t>2026-02-16</t>
        </is>
      </c>
      <c r="B53" s="10" t="inlineStr">
        <is>
          <t>Mùa khô</t>
        </is>
      </c>
      <c r="C53" s="10" t="n">
        <v>35.7</v>
      </c>
      <c r="D53" s="10" t="n">
        <v>25</v>
      </c>
      <c r="E53" s="10" t="n">
        <v>54</v>
      </c>
      <c r="F53" s="10" t="n">
        <v>32</v>
      </c>
      <c r="G53" s="10" t="n">
        <v>0.1</v>
      </c>
      <c r="H53" s="10" t="inlineStr">
        <is>
          <t>Nóng cực đoan; Khô cực đoan;</t>
        </is>
      </c>
    </row>
    <row r="54">
      <c r="A54" s="10" t="inlineStr">
        <is>
          <t>2026-02-17</t>
        </is>
      </c>
      <c r="B54" s="10" t="inlineStr">
        <is>
          <t>Mùa khô</t>
        </is>
      </c>
      <c r="C54" s="10" t="n">
        <v>35.7</v>
      </c>
      <c r="D54" s="10" t="n">
        <v>25.9</v>
      </c>
      <c r="E54" s="10" t="n">
        <v>51</v>
      </c>
      <c r="F54" s="10" t="n">
        <v>28</v>
      </c>
      <c r="G54" s="10" t="n">
        <v>0</v>
      </c>
      <c r="H54" s="10" t="inlineStr">
        <is>
          <t>Nóng cực đoan; Khô cực đoan;</t>
        </is>
      </c>
    </row>
    <row r="55">
      <c r="A55" s="10" t="inlineStr">
        <is>
          <t>2026-02-18</t>
        </is>
      </c>
      <c r="B55" s="10" t="inlineStr">
        <is>
          <t>Mùa khô</t>
        </is>
      </c>
      <c r="C55" s="10" t="n">
        <v>35.7</v>
      </c>
      <c r="D55" s="10" t="n">
        <v>24.1</v>
      </c>
      <c r="E55" s="10" t="n">
        <v>55</v>
      </c>
      <c r="F55" s="10" t="n">
        <v>32</v>
      </c>
      <c r="G55" s="10" t="n">
        <v>0.1</v>
      </c>
      <c r="H55" s="10" t="inlineStr">
        <is>
          <t>Nóng cực đoan; Khô cực đoan;</t>
        </is>
      </c>
    </row>
    <row r="56">
      <c r="A56" s="10" t="inlineStr">
        <is>
          <t>2026-02-19</t>
        </is>
      </c>
      <c r="B56" s="10" t="inlineStr">
        <is>
          <t>Mùa khô</t>
        </is>
      </c>
      <c r="C56" s="10" t="n">
        <v>34.9</v>
      </c>
      <c r="D56" s="10" t="n">
        <v>24.7</v>
      </c>
      <c r="E56" s="10" t="n">
        <v>57</v>
      </c>
      <c r="F56" s="10" t="n">
        <v>36</v>
      </c>
      <c r="G56" s="10" t="n">
        <v>0</v>
      </c>
      <c r="H56" s="10" t="inlineStr">
        <is>
          <t>Khô cực đoan;</t>
        </is>
      </c>
    </row>
    <row r="57">
      <c r="A57" s="10" t="inlineStr">
        <is>
          <t>2026-02-20</t>
        </is>
      </c>
      <c r="B57" s="10" t="inlineStr">
        <is>
          <t>Mùa khô</t>
        </is>
      </c>
      <c r="C57" s="10" t="n">
        <v>35.2</v>
      </c>
      <c r="D57" s="10" t="n">
        <v>24.7</v>
      </c>
      <c r="E57" s="10" t="n">
        <v>57</v>
      </c>
      <c r="F57" s="10" t="n">
        <v>37</v>
      </c>
      <c r="G57" s="10" t="n">
        <v>0.3</v>
      </c>
      <c r="H57" s="10" t="inlineStr">
        <is>
          <t>Khô cực đoan;</t>
        </is>
      </c>
    </row>
    <row r="58">
      <c r="A58" s="10" t="inlineStr">
        <is>
          <t>2026-02-26</t>
        </is>
      </c>
      <c r="B58" s="10" t="inlineStr">
        <is>
          <t>Mùa khô</t>
        </is>
      </c>
      <c r="C58" s="10" t="n">
        <v>26.4</v>
      </c>
      <c r="D58" s="10" t="n">
        <v>23.6</v>
      </c>
      <c r="E58" s="10" t="n">
        <v>91</v>
      </c>
      <c r="F58" s="10" t="n">
        <v>73</v>
      </c>
      <c r="G58" s="10" t="n">
        <v>31.1</v>
      </c>
      <c r="H58" s="10" t="inlineStr">
        <is>
          <t>Ẩm cực đoan;</t>
        </is>
      </c>
    </row>
    <row r="59">
      <c r="A59" s="10" t="inlineStr">
        <is>
          <t>2026-03-12</t>
        </is>
      </c>
      <c r="B59" s="10" t="inlineStr">
        <is>
          <t>Mùa khô</t>
        </is>
      </c>
      <c r="C59" s="10" t="n">
        <v>34.6</v>
      </c>
      <c r="D59" s="10" t="n">
        <v>25.3</v>
      </c>
      <c r="E59" s="10" t="n">
        <v>60</v>
      </c>
      <c r="F59" s="10" t="n">
        <v>32</v>
      </c>
      <c r="G59" s="10" t="n">
        <v>0.3</v>
      </c>
      <c r="H59" s="10" t="inlineStr">
        <is>
          <t>Khô cực đoan;</t>
        </is>
      </c>
    </row>
    <row r="60">
      <c r="A60" s="10" t="inlineStr">
        <is>
          <t>2026-03-13</t>
        </is>
      </c>
      <c r="B60" s="10" t="inlineStr">
        <is>
          <t>Mùa khô</t>
        </is>
      </c>
      <c r="C60" s="10" t="n">
        <v>34.8</v>
      </c>
      <c r="D60" s="10" t="n">
        <v>24.5</v>
      </c>
      <c r="E60" s="10" t="n">
        <v>57</v>
      </c>
      <c r="F60" s="10" t="n">
        <v>33</v>
      </c>
      <c r="G60" s="10" t="n">
        <v>1.5</v>
      </c>
      <c r="H60" s="10" t="inlineStr">
        <is>
          <t>Khô cực đoan;</t>
        </is>
      </c>
    </row>
    <row r="61">
      <c r="A61" s="10" t="inlineStr">
        <is>
          <t>2026-03-23</t>
        </is>
      </c>
      <c r="B61" s="10" t="inlineStr">
        <is>
          <t>Mùa khô</t>
        </is>
      </c>
      <c r="C61" s="10" t="n">
        <v>35.6</v>
      </c>
      <c r="D61" s="10" t="n">
        <v>24.5</v>
      </c>
      <c r="E61" s="10" t="n">
        <v>62</v>
      </c>
      <c r="F61" s="10" t="n">
        <v>31</v>
      </c>
      <c r="G61" s="10" t="n">
        <v>0</v>
      </c>
      <c r="H61" s="10" t="inlineStr">
        <is>
          <t>Khô cực đoan;</t>
        </is>
      </c>
    </row>
    <row r="62">
      <c r="A62" s="10" t="inlineStr">
        <is>
          <t>2026-03-25</t>
        </is>
      </c>
      <c r="B62" s="10" t="inlineStr">
        <is>
          <t>Mùa khô</t>
        </is>
      </c>
      <c r="C62" s="10" t="n">
        <v>36</v>
      </c>
      <c r="D62" s="10" t="n">
        <v>23.9</v>
      </c>
      <c r="E62" s="10" t="n">
        <v>66</v>
      </c>
      <c r="F62" s="10" t="n">
        <v>31</v>
      </c>
      <c r="G62" s="10" t="n">
        <v>0</v>
      </c>
      <c r="H62" s="10" t="inlineStr">
        <is>
          <t>Nóng cực đoan;</t>
        </is>
      </c>
    </row>
    <row r="63">
      <c r="A63" s="10" t="inlineStr">
        <is>
          <t>2026-04-02</t>
        </is>
      </c>
      <c r="B63" s="10" t="inlineStr">
        <is>
          <t>Mùa khô</t>
        </is>
      </c>
      <c r="C63" s="10" t="n">
        <v>35.9</v>
      </c>
      <c r="D63" s="10" t="n">
        <v>25.4</v>
      </c>
      <c r="E63" s="10" t="n">
        <v>65</v>
      </c>
      <c r="F63" s="10" t="n">
        <v>34</v>
      </c>
      <c r="G63" s="10" t="n">
        <v>0</v>
      </c>
      <c r="H63" s="10" t="inlineStr">
        <is>
          <t>Nóng cực đoan;</t>
        </is>
      </c>
    </row>
    <row r="64">
      <c r="A64" s="10" t="inlineStr">
        <is>
          <t>2026-04-03</t>
        </is>
      </c>
      <c r="B64" s="10" t="inlineStr">
        <is>
          <t>Mùa khô</t>
        </is>
      </c>
      <c r="C64" s="10" t="n">
        <v>35.4</v>
      </c>
      <c r="D64" s="10" t="n">
        <v>25</v>
      </c>
      <c r="E64" s="10" t="n">
        <v>60</v>
      </c>
      <c r="F64" s="10" t="n">
        <v>33</v>
      </c>
      <c r="G64" s="10" t="n">
        <v>0</v>
      </c>
      <c r="H64" s="10" t="inlineStr">
        <is>
          <t>Khô cực đoan;</t>
        </is>
      </c>
    </row>
    <row r="65">
      <c r="A65" s="10" t="inlineStr">
        <is>
          <t>2026-04-04</t>
        </is>
      </c>
      <c r="B65" s="10" t="inlineStr">
        <is>
          <t>Mùa khô</t>
        </is>
      </c>
      <c r="C65" s="10" t="n">
        <v>35.8</v>
      </c>
      <c r="D65" s="10" t="n">
        <v>23.5</v>
      </c>
      <c r="E65" s="10" t="n">
        <v>65</v>
      </c>
      <c r="F65" s="10" t="n">
        <v>33</v>
      </c>
      <c r="G65" s="10" t="n">
        <v>0</v>
      </c>
      <c r="H65" s="10" t="inlineStr">
        <is>
          <t>Nóng cực đoan;</t>
        </is>
      </c>
    </row>
    <row r="66">
      <c r="A66" s="10" t="inlineStr">
        <is>
          <t>2026-04-05</t>
        </is>
      </c>
      <c r="B66" s="10" t="inlineStr">
        <is>
          <t>Mùa khô</t>
        </is>
      </c>
      <c r="C66" s="10" t="n">
        <v>36.4</v>
      </c>
      <c r="D66" s="10" t="n">
        <v>24.9</v>
      </c>
      <c r="E66" s="10" t="n">
        <v>68</v>
      </c>
      <c r="F66" s="10" t="n">
        <v>38</v>
      </c>
      <c r="G66" s="10" t="n">
        <v>0</v>
      </c>
      <c r="H66" s="10" t="inlineStr">
        <is>
          <t>Nóng cực đoan;</t>
        </is>
      </c>
    </row>
    <row r="67">
      <c r="A67" s="10" t="inlineStr">
        <is>
          <t>2026-04-06</t>
        </is>
      </c>
      <c r="B67" s="10" t="inlineStr">
        <is>
          <t>Mùa khô</t>
        </is>
      </c>
      <c r="C67" s="10" t="n">
        <v>37</v>
      </c>
      <c r="D67" s="10" t="n">
        <v>25</v>
      </c>
      <c r="E67" s="10" t="n">
        <v>66</v>
      </c>
      <c r="F67" s="10" t="n">
        <v>33</v>
      </c>
      <c r="G67" s="10" t="n">
        <v>0</v>
      </c>
      <c r="H67" s="10" t="inlineStr">
        <is>
          <t>Nóng cực đoan;</t>
        </is>
      </c>
    </row>
    <row r="68">
      <c r="A68" s="10" t="inlineStr">
        <is>
          <t>2026-04-07</t>
        </is>
      </c>
      <c r="B68" s="10" t="inlineStr">
        <is>
          <t>Mùa khô</t>
        </is>
      </c>
      <c r="C68" s="10" t="n">
        <v>37.4</v>
      </c>
      <c r="D68" s="10" t="n">
        <v>25.3</v>
      </c>
      <c r="E68" s="10" t="n">
        <v>63</v>
      </c>
      <c r="F68" s="10" t="n">
        <v>29</v>
      </c>
      <c r="G68" s="10" t="n">
        <v>0</v>
      </c>
      <c r="H68" s="10" t="inlineStr">
        <is>
          <t>Nóng cực đoan;</t>
        </is>
      </c>
    </row>
    <row r="69">
      <c r="A69" s="10" t="inlineStr">
        <is>
          <t>2026-04-08</t>
        </is>
      </c>
      <c r="B69" s="10" t="inlineStr">
        <is>
          <t>Mùa khô</t>
        </is>
      </c>
      <c r="C69" s="10" t="n">
        <v>37</v>
      </c>
      <c r="D69" s="10" t="n">
        <v>26.6</v>
      </c>
      <c r="E69" s="10" t="n">
        <v>69</v>
      </c>
      <c r="F69" s="10" t="n">
        <v>37</v>
      </c>
      <c r="G69" s="10" t="n">
        <v>0.3</v>
      </c>
      <c r="H69" s="10" t="inlineStr">
        <is>
          <t>Nóng cực đoan;</t>
        </is>
      </c>
    </row>
    <row r="70">
      <c r="A70" s="10" t="inlineStr">
        <is>
          <t>2026-04-10</t>
        </is>
      </c>
      <c r="B70" s="10" t="inlineStr">
        <is>
          <t>Mùa khô</t>
        </is>
      </c>
      <c r="C70" s="10" t="n">
        <v>36.4</v>
      </c>
      <c r="D70" s="10" t="n">
        <v>25.3</v>
      </c>
      <c r="E70" s="10" t="n">
        <v>66</v>
      </c>
      <c r="F70" s="10" t="n">
        <v>39</v>
      </c>
      <c r="G70" s="10" t="n">
        <v>0.3</v>
      </c>
      <c r="H70" s="10" t="inlineStr">
        <is>
          <t>Nóng cực đoan;</t>
        </is>
      </c>
    </row>
    <row r="71">
      <c r="A71" s="10" t="inlineStr">
        <is>
          <t>2026-04-11</t>
        </is>
      </c>
      <c r="B71" s="10" t="inlineStr">
        <is>
          <t>Mùa khô</t>
        </is>
      </c>
      <c r="C71" s="10" t="n">
        <v>36.5</v>
      </c>
      <c r="D71" s="10" t="n">
        <v>26</v>
      </c>
      <c r="E71" s="10" t="n">
        <v>65</v>
      </c>
      <c r="F71" s="10" t="n">
        <v>37</v>
      </c>
      <c r="G71" s="10" t="n">
        <v>0</v>
      </c>
      <c r="H71" s="10" t="inlineStr">
        <is>
          <t>Nóng cực đoan;</t>
        </is>
      </c>
    </row>
    <row r="72">
      <c r="A72" s="10" t="inlineStr">
        <is>
          <t>2026-04-12</t>
        </is>
      </c>
      <c r="B72" s="10" t="inlineStr">
        <is>
          <t>Mùa khô</t>
        </is>
      </c>
      <c r="C72" s="10" t="n">
        <v>36.6</v>
      </c>
      <c r="D72" s="10" t="n">
        <v>26.1</v>
      </c>
      <c r="E72" s="10" t="n">
        <v>65</v>
      </c>
      <c r="F72" s="10" t="n">
        <v>36</v>
      </c>
      <c r="G72" s="10" t="n">
        <v>0.6</v>
      </c>
      <c r="H72" s="10" t="inlineStr">
        <is>
          <t>Nóng cực đoan;</t>
        </is>
      </c>
    </row>
    <row r="73">
      <c r="A73" s="10" t="inlineStr">
        <is>
          <t>2026-04-16</t>
        </is>
      </c>
      <c r="B73" s="10" t="inlineStr">
        <is>
          <t>Mùa khô</t>
        </is>
      </c>
      <c r="C73" s="10" t="n">
        <v>36.2</v>
      </c>
      <c r="D73" s="10" t="n">
        <v>26.3</v>
      </c>
      <c r="E73" s="10" t="n">
        <v>63</v>
      </c>
      <c r="F73" s="10" t="n">
        <v>41</v>
      </c>
      <c r="G73" s="10" t="n">
        <v>0</v>
      </c>
      <c r="H73" s="10" t="inlineStr">
        <is>
          <t>Nóng cực đoan;</t>
        </is>
      </c>
    </row>
    <row r="74">
      <c r="A74" s="10" t="inlineStr">
        <is>
          <t>2026-04-17</t>
        </is>
      </c>
      <c r="B74" s="10" t="inlineStr">
        <is>
          <t>Mùa khô</t>
        </is>
      </c>
      <c r="C74" s="10" t="n">
        <v>35.9</v>
      </c>
      <c r="D74" s="10" t="n">
        <v>27.2</v>
      </c>
      <c r="E74" s="10" t="n">
        <v>62</v>
      </c>
      <c r="F74" s="10" t="n">
        <v>42</v>
      </c>
      <c r="G74" s="10" t="n">
        <v>0.1</v>
      </c>
      <c r="H74" s="10" t="inlineStr">
        <is>
          <t>Nóng cực đoan; Khô cực đoan;</t>
        </is>
      </c>
    </row>
    <row r="75">
      <c r="A75" s="10" t="inlineStr">
        <is>
          <t>2026-04-20</t>
        </is>
      </c>
      <c r="B75" s="10" t="inlineStr">
        <is>
          <t>Mùa khô</t>
        </is>
      </c>
      <c r="C75" s="10" t="n">
        <v>33.7</v>
      </c>
      <c r="D75" s="10" t="n">
        <v>26.8</v>
      </c>
      <c r="E75" s="10" t="n">
        <v>59</v>
      </c>
      <c r="F75" s="10" t="n">
        <v>45</v>
      </c>
      <c r="G75" s="10" t="n">
        <v>0.3</v>
      </c>
      <c r="H75" s="10" t="inlineStr">
        <is>
          <t>Khô cực đoan;</t>
        </is>
      </c>
    </row>
    <row r="76">
      <c r="A76" s="10" t="inlineStr">
        <is>
          <t>2026-04-21</t>
        </is>
      </c>
      <c r="B76" s="10" t="inlineStr">
        <is>
          <t>Mùa khô</t>
        </is>
      </c>
      <c r="C76" s="10" t="n">
        <v>34.2</v>
      </c>
      <c r="D76" s="10" t="n">
        <v>25.8</v>
      </c>
      <c r="E76" s="10" t="n">
        <v>59</v>
      </c>
      <c r="F76" s="10" t="n">
        <v>41</v>
      </c>
      <c r="G76" s="10" t="n">
        <v>0.1</v>
      </c>
      <c r="H76" s="10" t="inlineStr">
        <is>
          <t>Khô cực đoan;</t>
        </is>
      </c>
    </row>
    <row r="77">
      <c r="A77" s="10" t="inlineStr">
        <is>
          <t>2026-04-24</t>
        </is>
      </c>
      <c r="B77" s="10" t="inlineStr">
        <is>
          <t>Mùa khô</t>
        </is>
      </c>
      <c r="C77" s="10" t="n">
        <v>36.2</v>
      </c>
      <c r="D77" s="10" t="n">
        <v>25.5</v>
      </c>
      <c r="E77" s="10" t="n">
        <v>61</v>
      </c>
      <c r="F77" s="10" t="n">
        <v>35</v>
      </c>
      <c r="G77" s="10" t="n">
        <v>0</v>
      </c>
      <c r="H77" s="10" t="inlineStr">
        <is>
          <t>Nóng cực đoan; Khô cực đoan;</t>
        </is>
      </c>
    </row>
    <row r="78">
      <c r="A78" s="10" t="inlineStr">
        <is>
          <t>2026-04-25</t>
        </is>
      </c>
      <c r="B78" s="10" t="inlineStr">
        <is>
          <t>Mùa khô</t>
        </is>
      </c>
      <c r="C78" s="10" t="n">
        <v>36.1</v>
      </c>
      <c r="D78" s="10" t="n">
        <v>27</v>
      </c>
      <c r="E78" s="10" t="n">
        <v>63</v>
      </c>
      <c r="F78" s="10" t="n">
        <v>43</v>
      </c>
      <c r="G78" s="10" t="n">
        <v>1.8</v>
      </c>
      <c r="H78" s="10" t="inlineStr">
        <is>
          <t>Nóng cực đoan;</t>
        </is>
      </c>
    </row>
    <row r="79">
      <c r="A79" s="10" t="inlineStr">
        <is>
          <t>2026-04-26</t>
        </is>
      </c>
      <c r="B79" s="10" t="inlineStr">
        <is>
          <t>Mùa khô</t>
        </is>
      </c>
      <c r="C79" s="10" t="n">
        <v>37.3</v>
      </c>
      <c r="D79" s="10" t="n">
        <v>27</v>
      </c>
      <c r="E79" s="10" t="n">
        <v>60</v>
      </c>
      <c r="F79" s="10" t="n">
        <v>30</v>
      </c>
      <c r="G79" s="10" t="n">
        <v>0.6</v>
      </c>
      <c r="H79" s="10" t="inlineStr">
        <is>
          <t>Nóng cực đoan; Khô cực đoan;</t>
        </is>
      </c>
    </row>
    <row r="80">
      <c r="A80" s="10" t="inlineStr">
        <is>
          <t>2026-04-27</t>
        </is>
      </c>
      <c r="B80" s="10" t="inlineStr">
        <is>
          <t>Mùa khô</t>
        </is>
      </c>
      <c r="C80" s="10" t="n">
        <v>36.9</v>
      </c>
      <c r="D80" s="10" t="n">
        <v>26.7</v>
      </c>
      <c r="E80" s="10" t="n">
        <v>63</v>
      </c>
      <c r="F80" s="10" t="n">
        <v>34</v>
      </c>
      <c r="G80" s="10" t="n">
        <v>0</v>
      </c>
      <c r="H80" s="10" t="inlineStr">
        <is>
          <t>Nóng cực đoan;</t>
        </is>
      </c>
    </row>
    <row r="81">
      <c r="A81" s="10" t="inlineStr">
        <is>
          <t>2026-04-28</t>
        </is>
      </c>
      <c r="B81" s="10" t="inlineStr">
        <is>
          <t>Mùa khô</t>
        </is>
      </c>
      <c r="C81" s="10" t="n">
        <v>37.2</v>
      </c>
      <c r="D81" s="10" t="n">
        <v>27.6</v>
      </c>
      <c r="E81" s="10" t="n">
        <v>65</v>
      </c>
      <c r="F81" s="10" t="n">
        <v>36</v>
      </c>
      <c r="G81" s="10" t="n">
        <v>0</v>
      </c>
      <c r="H81" s="10" t="inlineStr">
        <is>
          <t>Nóng cực đoan;</t>
        </is>
      </c>
    </row>
    <row r="82">
      <c r="A82" s="10" t="inlineStr">
        <is>
          <t>2026-04-29</t>
        </is>
      </c>
      <c r="B82" s="10" t="inlineStr">
        <is>
          <t>Mùa khô</t>
        </is>
      </c>
      <c r="C82" s="10" t="n">
        <v>36.7</v>
      </c>
      <c r="D82" s="10" t="n">
        <v>26.8</v>
      </c>
      <c r="E82" s="10" t="n">
        <v>62</v>
      </c>
      <c r="F82" s="10" t="n">
        <v>36</v>
      </c>
      <c r="G82" s="10" t="n">
        <v>1.4</v>
      </c>
      <c r="H82" s="10" t="inlineStr">
        <is>
          <t>Nóng cực đoan; Khô cực đoan;</t>
        </is>
      </c>
    </row>
    <row r="83">
      <c r="A83" s="10" t="inlineStr">
        <is>
          <t>2026-04-30</t>
        </is>
      </c>
      <c r="B83" s="10" t="inlineStr">
        <is>
          <t>Mùa khô</t>
        </is>
      </c>
      <c r="C83" s="10" t="n">
        <v>36.9</v>
      </c>
      <c r="D83" s="10" t="n">
        <v>27.9</v>
      </c>
      <c r="E83" s="10" t="n">
        <v>61</v>
      </c>
      <c r="F83" s="10" t="n">
        <v>38</v>
      </c>
      <c r="G83" s="10" t="n">
        <v>0.6</v>
      </c>
      <c r="H83" s="10" t="inlineStr">
        <is>
          <t>Nóng cực đoan; Khô cực đoan;</t>
        </is>
      </c>
    </row>
    <row r="84">
      <c r="A84" s="10" t="inlineStr">
        <is>
          <t>2026-05-01</t>
        </is>
      </c>
      <c r="B84" s="10" t="inlineStr">
        <is>
          <t>Mùa mưa</t>
        </is>
      </c>
      <c r="C84" s="10" t="n">
        <v>39.4</v>
      </c>
      <c r="D84" s="10" t="n">
        <v>27.8</v>
      </c>
      <c r="E84" s="10" t="n">
        <v>56</v>
      </c>
      <c r="F84" s="10" t="n">
        <v>25</v>
      </c>
      <c r="G84" s="10" t="n">
        <v>0.5</v>
      </c>
      <c r="H84" s="10" t="inlineStr">
        <is>
          <t>Nóng cực đoan; Khô cực đoan;</t>
        </is>
      </c>
    </row>
    <row r="85">
      <c r="A85" s="10" t="inlineStr">
        <is>
          <t>2026-05-02</t>
        </is>
      </c>
      <c r="B85" s="10" t="inlineStr">
        <is>
          <t>Mùa mưa</t>
        </is>
      </c>
      <c r="C85" s="10" t="n">
        <v>36.4</v>
      </c>
      <c r="D85" s="10" t="n">
        <v>27.8</v>
      </c>
      <c r="E85" s="10" t="n">
        <v>66</v>
      </c>
      <c r="F85" s="10" t="n">
        <v>40</v>
      </c>
      <c r="G85" s="10" t="n">
        <v>4</v>
      </c>
      <c r="H85" s="10" t="inlineStr">
        <is>
          <t>Nóng cực đoan;</t>
        </is>
      </c>
    </row>
    <row r="86">
      <c r="A86" s="10" t="inlineStr">
        <is>
          <t>2026-05-07</t>
        </is>
      </c>
      <c r="B86" s="10" t="inlineStr">
        <is>
          <t>Mùa mưa</t>
        </is>
      </c>
      <c r="C86" s="10" t="n">
        <v>36.3</v>
      </c>
      <c r="D86" s="10" t="n">
        <v>27</v>
      </c>
      <c r="E86" s="10" t="n">
        <v>67</v>
      </c>
      <c r="F86" s="10" t="n">
        <v>41</v>
      </c>
      <c r="G86" s="10" t="n">
        <v>0.1</v>
      </c>
      <c r="H86" s="10" t="inlineStr">
        <is>
          <t>Nóng cực đoan;</t>
        </is>
      </c>
    </row>
    <row r="87">
      <c r="A87" s="10" t="inlineStr">
        <is>
          <t>2026-05-08</t>
        </is>
      </c>
      <c r="B87" s="10" t="inlineStr">
        <is>
          <t>Mùa mưa</t>
        </is>
      </c>
      <c r="C87" s="10" t="n">
        <v>35.9</v>
      </c>
      <c r="D87" s="10" t="n">
        <v>27.6</v>
      </c>
      <c r="E87" s="10" t="n">
        <v>62</v>
      </c>
      <c r="F87" s="10" t="n">
        <v>39</v>
      </c>
      <c r="G87" s="10" t="n">
        <v>1.6</v>
      </c>
      <c r="H87" s="10" t="inlineStr">
        <is>
          <t>Nóng cực đoan; Khô cực đoan;</t>
        </is>
      </c>
    </row>
    <row r="88">
      <c r="A88" s="10" t="inlineStr">
        <is>
          <t>2026-05-09</t>
        </is>
      </c>
      <c r="B88" s="10" t="inlineStr">
        <is>
          <t>Mùa mưa</t>
        </is>
      </c>
      <c r="C88" s="10" t="n">
        <v>37.7</v>
      </c>
      <c r="D88" s="10" t="n">
        <v>27.1</v>
      </c>
      <c r="E88" s="10" t="n">
        <v>62</v>
      </c>
      <c r="F88" s="10" t="n">
        <v>32</v>
      </c>
      <c r="G88" s="10" t="n">
        <v>0.5</v>
      </c>
      <c r="H88" s="10" t="inlineStr">
        <is>
          <t>Nóng cực đoan; Khô cực đoan;</t>
        </is>
      </c>
    </row>
    <row r="89">
      <c r="A89" s="10" t="inlineStr">
        <is>
          <t>2026-05-10</t>
        </is>
      </c>
      <c r="B89" s="10" t="inlineStr">
        <is>
          <t>Mùa mưa</t>
        </is>
      </c>
      <c r="C89" s="10" t="n">
        <v>38.5</v>
      </c>
      <c r="D89" s="10" t="n">
        <v>28.3</v>
      </c>
      <c r="E89" s="10" t="n">
        <v>58</v>
      </c>
      <c r="F89" s="10" t="n">
        <v>35</v>
      </c>
      <c r="G89" s="10" t="n">
        <v>4.1</v>
      </c>
      <c r="H89" s="10" t="inlineStr">
        <is>
          <t>Nóng cực đoan; Khô cực đoan;</t>
        </is>
      </c>
    </row>
    <row r="90">
      <c r="A90" s="10" t="inlineStr">
        <is>
          <t>2026-05-11</t>
        </is>
      </c>
      <c r="B90" s="10" t="inlineStr">
        <is>
          <t>Mùa mưa</t>
        </is>
      </c>
      <c r="C90" s="10" t="n">
        <v>37.9</v>
      </c>
      <c r="D90" s="10" t="n">
        <v>26</v>
      </c>
      <c r="E90" s="10" t="n">
        <v>62</v>
      </c>
      <c r="F90" s="10" t="n">
        <v>35</v>
      </c>
      <c r="G90" s="10" t="n">
        <v>0.4</v>
      </c>
      <c r="H90" s="10" t="inlineStr">
        <is>
          <t>Nóng cực đoan; Khô cực đoan;</t>
        </is>
      </c>
    </row>
    <row r="91">
      <c r="A91" s="10" t="inlineStr">
        <is>
          <t>2026-05-12</t>
        </is>
      </c>
      <c r="B91" s="10" t="inlineStr">
        <is>
          <t>Mùa mưa</t>
        </is>
      </c>
      <c r="C91" s="10" t="n">
        <v>37.4</v>
      </c>
      <c r="D91" s="10" t="n">
        <v>28.3</v>
      </c>
      <c r="E91" s="10" t="n">
        <v>62</v>
      </c>
      <c r="F91" s="10" t="n">
        <v>37</v>
      </c>
      <c r="G91" s="10" t="n">
        <v>0</v>
      </c>
      <c r="H91" s="10" t="inlineStr">
        <is>
          <t>Nóng cực đoan; Khô cực đoan;</t>
        </is>
      </c>
    </row>
    <row r="92">
      <c r="A92" s="10" t="inlineStr">
        <is>
          <t>2026-05-13</t>
        </is>
      </c>
      <c r="B92" s="10" t="inlineStr">
        <is>
          <t>Mùa mưa</t>
        </is>
      </c>
      <c r="C92" s="10" t="n">
        <v>36.6</v>
      </c>
      <c r="D92" s="10" t="n">
        <v>27.8</v>
      </c>
      <c r="E92" s="10" t="n">
        <v>64</v>
      </c>
      <c r="F92" s="10" t="n">
        <v>44</v>
      </c>
      <c r="G92" s="10" t="n">
        <v>0.5</v>
      </c>
      <c r="H92" s="10" t="inlineStr">
        <is>
          <t>Nóng cực đoan;</t>
        </is>
      </c>
    </row>
    <row r="93">
      <c r="A93" s="10" t="inlineStr">
        <is>
          <t>2026-05-14</t>
        </is>
      </c>
      <c r="B93" s="10" t="inlineStr">
        <is>
          <t>Mùa mưa</t>
        </is>
      </c>
      <c r="C93" s="10" t="n">
        <v>37.5</v>
      </c>
      <c r="D93" s="10" t="n">
        <v>27.6</v>
      </c>
      <c r="E93" s="10" t="n">
        <v>62</v>
      </c>
      <c r="F93" s="10" t="n">
        <v>38</v>
      </c>
      <c r="G93" s="10" t="n">
        <v>1.9</v>
      </c>
      <c r="H93" s="10" t="inlineStr">
        <is>
          <t>Nóng cực đoan; Khô cực đoan;</t>
        </is>
      </c>
    </row>
    <row r="94">
      <c r="A94" s="10" t="inlineStr">
        <is>
          <t>2026-05-15</t>
        </is>
      </c>
      <c r="B94" s="10" t="inlineStr">
        <is>
          <t>Mùa mưa</t>
        </is>
      </c>
      <c r="C94" s="10" t="n">
        <v>37.4</v>
      </c>
      <c r="D94" s="10" t="n">
        <v>28.2</v>
      </c>
      <c r="E94" s="10" t="n">
        <v>64</v>
      </c>
      <c r="F94" s="10" t="n">
        <v>43</v>
      </c>
      <c r="G94" s="10" t="n">
        <v>5.8</v>
      </c>
      <c r="H94" s="10" t="inlineStr">
        <is>
          <t>Nóng cực đoan;</t>
        </is>
      </c>
    </row>
    <row r="95">
      <c r="A95" s="10" t="inlineStr">
        <is>
          <t>2026-05-16</t>
        </is>
      </c>
      <c r="B95" s="10" t="inlineStr">
        <is>
          <t>Mùa mưa</t>
        </is>
      </c>
      <c r="C95" s="10" t="n">
        <v>35.9</v>
      </c>
      <c r="D95" s="10" t="n">
        <v>27.5</v>
      </c>
      <c r="E95" s="10" t="n">
        <v>71</v>
      </c>
      <c r="F95" s="10" t="n">
        <v>47</v>
      </c>
      <c r="G95" s="10" t="n">
        <v>14.9</v>
      </c>
      <c r="H95" s="10" t="inlineStr">
        <is>
          <t>Nóng cực đoan;</t>
        </is>
      </c>
    </row>
    <row r="96">
      <c r="A96" s="10" t="inlineStr">
        <is>
          <t>2026-05-17</t>
        </is>
      </c>
      <c r="B96" s="10" t="inlineStr">
        <is>
          <t>Mùa mưa</t>
        </is>
      </c>
      <c r="C96" s="10" t="n">
        <v>35.9</v>
      </c>
      <c r="D96" s="10" t="n">
        <v>26.2</v>
      </c>
      <c r="E96" s="10" t="n">
        <v>77</v>
      </c>
      <c r="F96" s="10" t="n">
        <v>43</v>
      </c>
      <c r="G96" s="10" t="n">
        <v>8.800000000000001</v>
      </c>
      <c r="H96" s="10" t="inlineStr">
        <is>
          <t>Nóng cực đoan;</t>
        </is>
      </c>
    </row>
    <row r="97">
      <c r="A97" s="10" t="inlineStr">
        <is>
          <t>2026-05-25</t>
        </is>
      </c>
      <c r="B97" s="10" t="inlineStr">
        <is>
          <t>Mùa mưa</t>
        </is>
      </c>
      <c r="C97" s="10" t="n">
        <v>35.7</v>
      </c>
      <c r="D97" s="10" t="n">
        <v>26.9</v>
      </c>
      <c r="E97" s="10" t="n">
        <v>74</v>
      </c>
      <c r="F97" s="10" t="n">
        <v>50</v>
      </c>
      <c r="G97" s="10" t="n">
        <v>0.9</v>
      </c>
      <c r="H97" s="10" t="inlineStr">
        <is>
          <t>Nóng cực đoan;</t>
        </is>
      </c>
    </row>
    <row r="98">
      <c r="A98" s="10" t="inlineStr">
        <is>
          <t>2026-05-29</t>
        </is>
      </c>
      <c r="B98" s="10" t="inlineStr">
        <is>
          <t>Mùa mưa</t>
        </is>
      </c>
      <c r="C98" s="10" t="n">
        <v>27.2</v>
      </c>
      <c r="D98" s="10" t="n">
        <v>24.5</v>
      </c>
      <c r="E98" s="10" t="n">
        <v>92</v>
      </c>
      <c r="F98" s="10" t="n">
        <v>84</v>
      </c>
      <c r="G98" s="10" t="n">
        <v>21.6</v>
      </c>
      <c r="H98" s="10" t="inlineStr">
        <is>
          <t>Ẩm cực đoan;</t>
        </is>
      </c>
    </row>
    <row r="99">
      <c r="A99" s="10" t="inlineStr">
        <is>
          <t>2026-07-02</t>
        </is>
      </c>
      <c r="B99" s="10" t="inlineStr">
        <is>
          <t>Mùa mưa</t>
        </is>
      </c>
      <c r="C99" s="10" t="n">
        <v>30.1</v>
      </c>
      <c r="D99" s="10" t="n">
        <v>24.4</v>
      </c>
      <c r="E99" s="10" t="n">
        <v>89</v>
      </c>
      <c r="F99" s="10" t="n">
        <v>75</v>
      </c>
      <c r="G99" s="10" t="n">
        <v>21.5</v>
      </c>
      <c r="H99" s="10" t="inlineStr">
        <is>
          <t>Ẩm cực đoan;</t>
        </is>
      </c>
    </row>
    <row r="100">
      <c r="A100" s="10" t="inlineStr">
        <is>
          <t>2026-07-04</t>
        </is>
      </c>
      <c r="B100" s="10" t="inlineStr">
        <is>
          <t>Mùa mưa</t>
        </is>
      </c>
      <c r="C100" s="10" t="n">
        <v>29.6</v>
      </c>
      <c r="D100" s="10" t="n">
        <v>24.7</v>
      </c>
      <c r="E100" s="10" t="n">
        <v>91</v>
      </c>
      <c r="F100" s="10" t="n">
        <v>77</v>
      </c>
      <c r="G100" s="10" t="n">
        <v>18.8</v>
      </c>
      <c r="H100" s="10" t="inlineStr">
        <is>
          <t>Ẩm cực đoan;</t>
        </is>
      </c>
    </row>
    <row r="101">
      <c r="A101" s="10" t="inlineStr">
        <is>
          <t>2026-07-25</t>
        </is>
      </c>
      <c r="B101" s="10" t="inlineStr">
        <is>
          <t>Mùa mưa</t>
        </is>
      </c>
      <c r="C101" s="10" t="n">
        <v>31.2</v>
      </c>
      <c r="D101" s="10" t="n">
        <v>24.4</v>
      </c>
      <c r="E101" s="10" t="n">
        <v>90</v>
      </c>
      <c r="F101" s="10" t="n">
        <v>67</v>
      </c>
      <c r="G101" s="10" t="n">
        <v>13.4</v>
      </c>
      <c r="H101" s="10" t="inlineStr">
        <is>
          <t>Ẩm cực đoan;</t>
        </is>
      </c>
    </row>
    <row r="102">
      <c r="A102" s="10" t="inlineStr">
        <is>
          <t>2026-07-26</t>
        </is>
      </c>
      <c r="B102" s="10" t="inlineStr">
        <is>
          <t>Mùa mưa</t>
        </is>
      </c>
      <c r="C102" s="10" t="n">
        <v>29.7</v>
      </c>
      <c r="D102" s="10" t="n">
        <v>24.7</v>
      </c>
      <c r="E102" s="10" t="n">
        <v>90</v>
      </c>
      <c r="F102" s="10" t="n">
        <v>74</v>
      </c>
      <c r="G102" s="10" t="n">
        <v>14.6</v>
      </c>
      <c r="H102" s="10" t="inlineStr">
        <is>
          <t>Ẩm cực đoan;</t>
        </is>
      </c>
    </row>
    <row r="103">
      <c r="A103" s="10" t="inlineStr">
        <is>
          <t>2026-07-28</t>
        </is>
      </c>
      <c r="B103" s="10" t="inlineStr">
        <is>
          <t>Mùa mưa</t>
        </is>
      </c>
      <c r="C103" s="10" t="n">
        <v>29.6</v>
      </c>
      <c r="D103" s="10" t="n">
        <v>24.5</v>
      </c>
      <c r="E103" s="10" t="n">
        <v>89</v>
      </c>
      <c r="F103" s="10" t="n">
        <v>73</v>
      </c>
      <c r="G103" s="10" t="n">
        <v>19.1</v>
      </c>
      <c r="H103" s="10" t="inlineStr">
        <is>
          <t>Ẩm cực đoan;</t>
        </is>
      </c>
    </row>
    <row r="104">
      <c r="A104" s="10" t="inlineStr">
        <is>
          <t>2026-07-31</t>
        </is>
      </c>
      <c r="B104" s="10" t="inlineStr">
        <is>
          <t>Mùa mưa</t>
        </is>
      </c>
      <c r="C104" s="10" t="n">
        <v>30</v>
      </c>
      <c r="D104" s="10" t="n">
        <v>24.7</v>
      </c>
      <c r="E104" s="10" t="n">
        <v>89</v>
      </c>
      <c r="F104" s="10" t="n">
        <v>72</v>
      </c>
      <c r="G104" s="10" t="n">
        <v>8.6</v>
      </c>
      <c r="H104" s="10" t="inlineStr">
        <is>
          <t>Ẩm cực đoan;</t>
        </is>
      </c>
    </row>
    <row r="105">
      <c r="A105" s="10" t="inlineStr">
        <is>
          <t>2026-09-10</t>
        </is>
      </c>
      <c r="B105" s="10" t="inlineStr">
        <is>
          <t>Mùa mưa</t>
        </is>
      </c>
      <c r="C105" s="10" t="n">
        <v>30.9</v>
      </c>
      <c r="D105" s="10" t="n">
        <v>23.9</v>
      </c>
      <c r="E105" s="10" t="n">
        <v>89</v>
      </c>
      <c r="F105" s="10" t="n">
        <v>61</v>
      </c>
      <c r="G105" s="10" t="n">
        <v>22.7</v>
      </c>
      <c r="H105" s="10" t="inlineStr">
        <is>
          <t>Ẩm cực đoan;</t>
        </is>
      </c>
    </row>
    <row r="106">
      <c r="A106" s="10" t="inlineStr">
        <is>
          <t>2026-09-11</t>
        </is>
      </c>
      <c r="B106" s="10" t="inlineStr">
        <is>
          <t>Mùa mưa</t>
        </is>
      </c>
      <c r="C106" s="10" t="n">
        <v>27.8</v>
      </c>
      <c r="D106" s="10" t="n">
        <v>24</v>
      </c>
      <c r="E106" s="10" t="n">
        <v>90</v>
      </c>
      <c r="F106" s="10" t="n">
        <v>77</v>
      </c>
      <c r="G106" s="10" t="n">
        <v>12.1</v>
      </c>
      <c r="H106" s="10" t="inlineStr">
        <is>
          <t>Ẩm cực đoan;</t>
        </is>
      </c>
    </row>
    <row r="107">
      <c r="A107" s="10" t="inlineStr">
        <is>
          <t>2026-09-19</t>
        </is>
      </c>
      <c r="B107" s="10" t="inlineStr">
        <is>
          <t>Mùa mưa</t>
        </is>
      </c>
      <c r="C107" s="10" t="n">
        <v>32.1</v>
      </c>
      <c r="D107" s="10" t="n">
        <v>24.9</v>
      </c>
      <c r="E107" s="10" t="n">
        <v>89</v>
      </c>
      <c r="F107" s="10" t="n">
        <v>67</v>
      </c>
      <c r="G107" s="10" t="n">
        <v>12.7</v>
      </c>
      <c r="H107" s="10" t="inlineStr">
        <is>
          <t>Ẩm cực đoan;</t>
        </is>
      </c>
    </row>
    <row r="108">
      <c r="A108" s="10" t="inlineStr">
        <is>
          <t>2026-09-20</t>
        </is>
      </c>
      <c r="B108" s="10" t="inlineStr">
        <is>
          <t>Mùa mưa</t>
        </is>
      </c>
      <c r="C108" s="10" t="n">
        <v>30.3</v>
      </c>
      <c r="D108" s="10" t="n">
        <v>24.8</v>
      </c>
      <c r="E108" s="10" t="n">
        <v>89</v>
      </c>
      <c r="F108" s="10" t="n">
        <v>69</v>
      </c>
      <c r="G108" s="10" t="n">
        <v>7.5</v>
      </c>
      <c r="H108" s="10" t="inlineStr">
        <is>
          <t>Ẩm cực đoan;</t>
        </is>
      </c>
    </row>
    <row r="109">
      <c r="A109" s="10" t="inlineStr">
        <is>
          <t>2026-09-22</t>
        </is>
      </c>
      <c r="B109" s="10" t="inlineStr">
        <is>
          <t>Mùa mưa</t>
        </is>
      </c>
      <c r="C109" s="10" t="n">
        <v>30.8</v>
      </c>
      <c r="D109" s="10" t="n">
        <v>24.6</v>
      </c>
      <c r="E109" s="10" t="n">
        <v>90</v>
      </c>
      <c r="F109" s="10" t="n">
        <v>69</v>
      </c>
      <c r="G109" s="10" t="n">
        <v>40.1</v>
      </c>
      <c r="H109" s="10" t="inlineStr">
        <is>
          <t>Ẩm cực đoan;</t>
        </is>
      </c>
    </row>
    <row r="110">
      <c r="A110" s="10" t="inlineStr">
        <is>
          <t>2026-09-23</t>
        </is>
      </c>
      <c r="B110" s="10" t="inlineStr">
        <is>
          <t>Mùa mưa</t>
        </is>
      </c>
      <c r="C110" s="10" t="n">
        <v>29.2</v>
      </c>
      <c r="D110" s="10" t="n">
        <v>24.7</v>
      </c>
      <c r="E110" s="10" t="n">
        <v>92</v>
      </c>
      <c r="F110" s="10" t="n">
        <v>76</v>
      </c>
      <c r="G110" s="10" t="n">
        <v>25.2</v>
      </c>
      <c r="H110" s="10" t="inlineStr">
        <is>
          <t>Ẩm cực đoan;</t>
        </is>
      </c>
    </row>
    <row r="111">
      <c r="A111" s="10" t="inlineStr">
        <is>
          <t>2026-09-24</t>
        </is>
      </c>
      <c r="B111" s="10" t="inlineStr">
        <is>
          <t>Mùa mưa</t>
        </is>
      </c>
      <c r="C111" s="10" t="n">
        <v>30.4</v>
      </c>
      <c r="D111" s="10" t="n">
        <v>24.4</v>
      </c>
      <c r="E111" s="10" t="n">
        <v>89</v>
      </c>
      <c r="F111" s="10" t="n">
        <v>70</v>
      </c>
      <c r="G111" s="10" t="n">
        <v>18.3</v>
      </c>
      <c r="H111" s="10" t="inlineStr">
        <is>
          <t>Ẩm cực đoan;</t>
        </is>
      </c>
    </row>
    <row r="112">
      <c r="A112" s="10" t="inlineStr">
        <is>
          <t>2026-09-26</t>
        </is>
      </c>
      <c r="B112" s="10" t="inlineStr">
        <is>
          <t>Mùa mưa</t>
        </is>
      </c>
      <c r="C112" s="10" t="n">
        <v>31.4</v>
      </c>
      <c r="D112" s="10" t="n">
        <v>25</v>
      </c>
      <c r="E112" s="10" t="n">
        <v>89</v>
      </c>
      <c r="F112" s="10" t="n">
        <v>64</v>
      </c>
      <c r="G112" s="10" t="n">
        <v>9.699999999999999</v>
      </c>
      <c r="H112" s="10" t="inlineStr">
        <is>
          <t>Ẩm cực đoan;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32" customHeight="1">
      <c r="A1" s="9" t="inlineStr">
        <is>
          <t>Mục</t>
        </is>
      </c>
      <c r="B1" s="9" t="inlineStr">
        <is>
          <t>Mô tả</t>
        </is>
      </c>
    </row>
    <row r="2">
      <c r="A2" s="10" t="inlineStr">
        <is>
          <t>Nguồn</t>
        </is>
      </c>
      <c r="B2" s="26" t="inlineStr">
        <is>
          <t>Open-Meteo Historical Weather API (archive-api.open-meteo.com), tái phân tích ERA5; toạ độ 10.8231, 106.6297 (TP.HCM); múi giờ UTC+7.</t>
        </is>
      </c>
    </row>
    <row r="3">
      <c r="A3" s="10" t="inlineStr">
        <is>
          <t>Mùa</t>
        </is>
      </c>
      <c r="B3" s="26" t="inlineStr">
        <is>
          <t>Mùa mưa: tháng 5–11; mùa khô: tháng 12–4.</t>
        </is>
      </c>
    </row>
    <row r="4">
      <c r="A4" s="10" t="inlineStr">
        <is>
          <t>Ngày mưa</t>
        </is>
      </c>
      <c r="B4" s="26" t="inlineStr">
        <is>
          <t>Lượng mưa ngày ≥ 1 mm (ngưỡng WMO).</t>
        </is>
      </c>
    </row>
    <row r="5">
      <c r="A5" s="10" t="inlineStr">
        <is>
          <t>Ban ngày / đêm</t>
        </is>
      </c>
      <c r="B5" s="26" t="inlineStr">
        <is>
          <t>Ban ngày 06:00–17:59, ban đêm 18:00–05:59 trong cùng ngày dương lịch, tính từ dữ liệu giờ.</t>
        </is>
      </c>
    </row>
    <row r="6">
      <c r="A6" s="10" t="inlineStr">
        <is>
          <t>MA7</t>
        </is>
      </c>
      <c r="B6" s="26" t="inlineStr">
        <is>
          <t>AVG(temp_mean) OVER (ORDER BY date ROWS BETWEEN 6 PRECEDING AND CURRENT ROW); 6 ngày đầu có &lt; 7 điểm.</t>
        </is>
      </c>
    </row>
    <row r="7">
      <c r="A7" s="10" t="inlineStr">
        <is>
          <t>Spike nhiệt</t>
        </is>
      </c>
      <c r="B7" s="26" t="inlineStr">
        <is>
          <t>temp_max − LAG(temp_max) ≥ 2 °C hoặc temp_max − TB 7 ngày trước ≥ 2 °C.</t>
        </is>
      </c>
    </row>
    <row r="8">
      <c r="A8" s="10" t="inlineStr">
        <is>
          <t>Cực đoan</t>
        </is>
      </c>
      <c r="B8" s="26" t="inlineStr">
        <is>
          <t>Top 10% theo PERCENT_RANK (nóng / mát / ẩm / khô).</t>
        </is>
      </c>
    </row>
    <row r="9">
      <c r="A9" s="10" t="inlineStr">
        <is>
          <t>Khả năng mưa</t>
        </is>
      </c>
      <c r="B9" s="26" t="inlineStr">
        <is>
          <t>P(mưa) = số ngày mưa / số ngày. P(mai mưa | nay mưa) dùng LEAD(is_wet) — Markov 1 bậc.</t>
        </is>
      </c>
    </row>
    <row r="10">
      <c r="A10" s="10" t="inlineStr">
        <is>
          <t>Ô có thể sửa</t>
        </is>
      </c>
      <c r="B10" s="26" t="inlineStr">
        <is>
          <t>Chỉ sheet Data_Ngay là dữ liệu đầu vào; Thang, Mua, Dashboard tự tính lại bằng công thức.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2026-10-13T08:39:46Z</dcterms:created>
  <dcterms:modified xsi:type="dcterms:W3CDTF">2026-10-13T08:39:46Z</dcterms:modified>
</cp:coreProperties>
</file>